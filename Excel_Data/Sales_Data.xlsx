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numba Ejike John\Documents\Projects\Sales Performance Dashboard\"/>
    </mc:Choice>
  </mc:AlternateContent>
  <xr:revisionPtr revIDLastSave="0" documentId="13_ncr:1_{2B26D18E-8B49-4E89-8881-C5123E24EFC8}" xr6:coauthVersionLast="36" xr6:coauthVersionMax="36" xr10:uidLastSave="{00000000-0000-0000-0000-000000000000}"/>
  <bookViews>
    <workbookView xWindow="0" yWindow="0" windowWidth="18435" windowHeight="6945" activeTab="3" xr2:uid="{BA3E1CA4-29F7-4C55-8C14-97A64E857C38}"/>
  </bookViews>
  <sheets>
    <sheet name="Raw_Data_3" sheetId="3" r:id="rId1"/>
    <sheet name="Raw_Data_2" sheetId="2" r:id="rId2"/>
    <sheet name="Excel Analysis" sheetId="4" r:id="rId3"/>
    <sheet name="Raw_Data" sheetId="1" r:id="rId4"/>
  </sheet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H14" i="2" s="1"/>
  <c r="F15" i="2"/>
  <c r="F16" i="2"/>
  <c r="F17" i="2"/>
  <c r="F18" i="2"/>
  <c r="F19" i="2"/>
  <c r="F20" i="2"/>
  <c r="F21" i="2"/>
  <c r="F22" i="2"/>
  <c r="H22" i="2" s="1"/>
  <c r="F23" i="2"/>
  <c r="F24" i="2"/>
  <c r="F25" i="2"/>
  <c r="F26" i="2"/>
  <c r="F27" i="2"/>
  <c r="F28" i="2"/>
  <c r="F29" i="2"/>
  <c r="F30" i="2"/>
  <c r="H30" i="2" s="1"/>
  <c r="F31" i="2"/>
  <c r="F32" i="2"/>
  <c r="F33" i="2"/>
  <c r="F34" i="2"/>
  <c r="F35" i="2"/>
  <c r="F36" i="2"/>
  <c r="F37" i="2"/>
  <c r="F38" i="2"/>
  <c r="H38" i="2" s="1"/>
  <c r="F39" i="2"/>
  <c r="F40" i="2"/>
  <c r="F41" i="2"/>
  <c r="F42" i="2"/>
  <c r="F43" i="2"/>
  <c r="F44" i="2"/>
  <c r="F45" i="2"/>
  <c r="F46" i="2"/>
  <c r="H46" i="2" s="1"/>
  <c r="F47" i="2"/>
  <c r="F48" i="2"/>
  <c r="F49" i="2"/>
  <c r="F50" i="2"/>
  <c r="F51" i="2"/>
  <c r="F52" i="2"/>
  <c r="F53" i="2"/>
  <c r="F54" i="2"/>
  <c r="H54" i="2" s="1"/>
  <c r="F55" i="2"/>
  <c r="F56" i="2"/>
  <c r="F57" i="2"/>
  <c r="F58" i="2"/>
  <c r="F59" i="2"/>
  <c r="F60" i="2"/>
  <c r="F61" i="2"/>
  <c r="F62" i="2"/>
  <c r="H62" i="2" s="1"/>
  <c r="F63" i="2"/>
  <c r="F64" i="2"/>
  <c r="F65" i="2"/>
  <c r="F66" i="2"/>
  <c r="F67" i="2"/>
  <c r="F68" i="2"/>
  <c r="F69" i="2"/>
  <c r="F70" i="2"/>
  <c r="H70" i="2" s="1"/>
  <c r="F71" i="2"/>
  <c r="F72" i="2"/>
  <c r="F73" i="2"/>
  <c r="F74" i="2"/>
  <c r="F75" i="2"/>
  <c r="F76" i="2"/>
  <c r="F77" i="2"/>
  <c r="F78" i="2"/>
  <c r="H78" i="2" s="1"/>
  <c r="F79" i="2"/>
  <c r="F80" i="2"/>
  <c r="F81" i="2"/>
  <c r="F82" i="2"/>
  <c r="F83" i="2"/>
  <c r="F84" i="2"/>
  <c r="F85" i="2"/>
  <c r="F86" i="2"/>
  <c r="H86" i="2" s="1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H102" i="2" s="1"/>
  <c r="F103" i="2"/>
  <c r="F104" i="2"/>
  <c r="F105" i="2"/>
  <c r="F106" i="2"/>
  <c r="F107" i="2"/>
  <c r="F108" i="2"/>
  <c r="F109" i="2"/>
  <c r="F110" i="2"/>
  <c r="H110" i="2" s="1"/>
  <c r="F111" i="2"/>
  <c r="F112" i="2"/>
  <c r="F113" i="2"/>
  <c r="F114" i="2"/>
  <c r="F115" i="2"/>
  <c r="F116" i="2"/>
  <c r="F117" i="2"/>
  <c r="F118" i="2"/>
  <c r="H118" i="2" s="1"/>
  <c r="F119" i="2"/>
  <c r="F120" i="2"/>
  <c r="F121" i="2"/>
  <c r="F122" i="2"/>
  <c r="F123" i="2"/>
  <c r="F124" i="2"/>
  <c r="F125" i="2"/>
  <c r="F126" i="2"/>
  <c r="H126" i="2" s="1"/>
  <c r="F127" i="2"/>
  <c r="F128" i="2"/>
  <c r="F129" i="2"/>
  <c r="F130" i="2"/>
  <c r="F131" i="2"/>
  <c r="F132" i="2"/>
  <c r="F133" i="2"/>
  <c r="F134" i="2"/>
  <c r="H134" i="2" s="1"/>
  <c r="F135" i="2"/>
  <c r="F136" i="2"/>
  <c r="F137" i="2"/>
  <c r="F138" i="2"/>
  <c r="F139" i="2"/>
  <c r="F140" i="2"/>
  <c r="F141" i="2"/>
  <c r="F142" i="2"/>
  <c r="H142" i="2" s="1"/>
  <c r="F143" i="2"/>
  <c r="F144" i="2"/>
  <c r="F145" i="2"/>
  <c r="F146" i="2"/>
  <c r="F147" i="2"/>
  <c r="F148" i="2"/>
  <c r="F149" i="2"/>
  <c r="F150" i="2"/>
  <c r="H150" i="2" s="1"/>
  <c r="F151" i="2"/>
  <c r="F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2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H94" i="2" l="1"/>
  <c r="H146" i="2"/>
  <c r="H138" i="2"/>
  <c r="H130" i="2"/>
  <c r="H122" i="2"/>
  <c r="H114" i="2"/>
  <c r="H106" i="2"/>
  <c r="H140" i="2"/>
  <c r="H132" i="2"/>
  <c r="H124" i="2"/>
  <c r="H116" i="2"/>
  <c r="H108" i="2"/>
  <c r="H100" i="2"/>
  <c r="H92" i="2"/>
  <c r="H76" i="2"/>
  <c r="H68" i="2"/>
  <c r="H60" i="2"/>
  <c r="H52" i="2"/>
  <c r="H44" i="2"/>
  <c r="H36" i="2"/>
  <c r="H28" i="2"/>
  <c r="H12" i="2"/>
  <c r="H147" i="2"/>
  <c r="H139" i="2"/>
  <c r="H148" i="2"/>
  <c r="H84" i="2"/>
  <c r="H20" i="2"/>
  <c r="H98" i="2"/>
  <c r="H90" i="2"/>
  <c r="H82" i="2"/>
  <c r="H74" i="2"/>
  <c r="H66" i="2"/>
  <c r="H58" i="2"/>
  <c r="H50" i="2"/>
  <c r="H42" i="2"/>
  <c r="H34" i="2"/>
  <c r="H26" i="2"/>
  <c r="H18" i="2"/>
  <c r="H10" i="2"/>
  <c r="H2" i="2"/>
  <c r="H144" i="2"/>
  <c r="H145" i="2"/>
  <c r="H137" i="2"/>
  <c r="H129" i="2"/>
  <c r="H121" i="2"/>
  <c r="H113" i="2"/>
  <c r="H105" i="2"/>
  <c r="H97" i="2"/>
  <c r="H89" i="2"/>
  <c r="H81" i="2"/>
  <c r="H73" i="2"/>
  <c r="H65" i="2"/>
  <c r="H57" i="2"/>
  <c r="H49" i="2"/>
  <c r="H41" i="2"/>
  <c r="H33" i="2"/>
  <c r="H25" i="2"/>
  <c r="H17" i="2"/>
  <c r="H9" i="2"/>
  <c r="H136" i="2"/>
  <c r="H128" i="2"/>
  <c r="H120" i="2"/>
  <c r="H112" i="2"/>
  <c r="H104" i="2"/>
  <c r="H96" i="2"/>
  <c r="H88" i="2"/>
  <c r="H80" i="2"/>
  <c r="H72" i="2"/>
  <c r="H64" i="2"/>
  <c r="H56" i="2"/>
  <c r="H48" i="2"/>
  <c r="H40" i="2"/>
  <c r="H32" i="2"/>
  <c r="H24" i="2"/>
  <c r="H16" i="2"/>
  <c r="H8" i="2"/>
  <c r="H151" i="2"/>
  <c r="H143" i="2"/>
  <c r="H135" i="2"/>
  <c r="H127" i="2"/>
  <c r="H119" i="2"/>
  <c r="H111" i="2"/>
  <c r="H103" i="2"/>
  <c r="H95" i="2"/>
  <c r="H87" i="2"/>
  <c r="H79" i="2"/>
  <c r="H71" i="2"/>
  <c r="H63" i="2"/>
  <c r="H55" i="2"/>
  <c r="H47" i="2"/>
  <c r="H39" i="2"/>
  <c r="H31" i="2"/>
  <c r="H23" i="2"/>
  <c r="H15" i="2"/>
  <c r="H7" i="2"/>
  <c r="H6" i="2"/>
  <c r="H149" i="2"/>
  <c r="H141" i="2"/>
  <c r="H133" i="2"/>
  <c r="H125" i="2"/>
  <c r="H117" i="2"/>
  <c r="H109" i="2"/>
  <c r="H101" i="2"/>
  <c r="H93" i="2"/>
  <c r="H85" i="2"/>
  <c r="H77" i="2"/>
  <c r="H69" i="2"/>
  <c r="H61" i="2"/>
  <c r="H53" i="2"/>
  <c r="H45" i="2"/>
  <c r="H37" i="2"/>
  <c r="H29" i="2"/>
  <c r="H21" i="2"/>
  <c r="H13" i="2"/>
  <c r="H5" i="2"/>
  <c r="H4" i="2"/>
  <c r="H131" i="2"/>
  <c r="H123" i="2"/>
  <c r="H115" i="2"/>
  <c r="H107" i="2"/>
  <c r="H99" i="2"/>
  <c r="H91" i="2"/>
  <c r="H83" i="2"/>
  <c r="H75" i="2"/>
  <c r="H67" i="2"/>
  <c r="H59" i="2"/>
  <c r="H51" i="2"/>
  <c r="H43" i="2"/>
  <c r="H35" i="2"/>
  <c r="H27" i="2"/>
  <c r="H19" i="2"/>
  <c r="H11" i="2"/>
  <c r="H3" i="2"/>
</calcChain>
</file>

<file path=xl/sharedStrings.xml><?xml version="1.0" encoding="utf-8"?>
<sst xmlns="http://schemas.openxmlformats.org/spreadsheetml/2006/main" count="1254" uniqueCount="35">
  <si>
    <t>OrderID</t>
  </si>
  <si>
    <t>OrderDate</t>
  </si>
  <si>
    <t>Region</t>
  </si>
  <si>
    <t>Category</t>
  </si>
  <si>
    <t>Product</t>
  </si>
  <si>
    <t>Quantity</t>
  </si>
  <si>
    <t>UnitPrice</t>
  </si>
  <si>
    <t>North</t>
  </si>
  <si>
    <t>Electronics</t>
  </si>
  <si>
    <t>Laptop</t>
  </si>
  <si>
    <t>South</t>
  </si>
  <si>
    <t>Clothing</t>
  </si>
  <si>
    <t>T-Shirt</t>
  </si>
  <si>
    <t>East</t>
  </si>
  <si>
    <t>Home &amp; Garden</t>
  </si>
  <si>
    <t>Sofa</t>
  </si>
  <si>
    <t>West</t>
  </si>
  <si>
    <t>Sports</t>
  </si>
  <si>
    <t>Tennis Racket</t>
  </si>
  <si>
    <t>Phone</t>
  </si>
  <si>
    <t>Jeans</t>
  </si>
  <si>
    <t>Lamp</t>
  </si>
  <si>
    <t>Basketball</t>
  </si>
  <si>
    <t>Tablet</t>
  </si>
  <si>
    <t>Jacket</t>
  </si>
  <si>
    <t>Chair</t>
  </si>
  <si>
    <t>Yoga Mat</t>
  </si>
  <si>
    <t>Revenue</t>
  </si>
  <si>
    <t>Data generated with python code</t>
  </si>
  <si>
    <t>Data Generated with Excel Formula</t>
  </si>
  <si>
    <t>Data generated with AI</t>
  </si>
  <si>
    <t>Row Labels</t>
  </si>
  <si>
    <t>Grand Total</t>
  </si>
  <si>
    <t>Sum of Revenue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</si>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</sst>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 hh:mm:ss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left" vertical="center" wrapText="1" indent="1"/>
    </xf>
    <xf numFmtId="14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68" fontId="0" fillId="0" borderId="0" xfId="0" applyNumberFormat="1"/>
    <xf numFmtId="0" fontId="3" fillId="0" borderId="1" xfId="0" applyFont="1" applyFill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left" vertical="center" textRotation="0" wrapText="1" indent="1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left" vertical="center" textRotation="0" wrapText="1" indent="1" justifyLastLine="0" shrinkToFit="0" readingOrder="0"/>
    </dxf>
    <dxf>
      <numFmt numFmtId="19" formatCode="m/d/yyyy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8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[Sales_Data.xlsx]Excel Analysis!PivotTable1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'Excel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'Excel Analysis'!$A$4:$A$8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'Excel Analysis'!$B$4:$B$8</c:f>
              <c:numCache>
                <c:formatCode>General</c:formatCode>
                <c:ptCount val="4"/>
                <c:pt idx="0">
                  <c:v>14430.549999999994</c:v>
                </c:pt>
                <c:pt idx="1">
                  <c:v>89598.84</c:v>
                </c:pt>
                <c:pt idx="2">
                  <c:v>7526.4799999999968</c:v>
                </c:pt>
                <c:pt idx="3">
                  <c:v>4787.6299999999974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3E-4854-A0F7-465E6F339D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56885311"/>
        <c:axId val="506990991"/>
      </c:barChart>
      <c:catAx>
        <c:axId val="45688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990991"/>
        <c:crosses val="autoZero"/>
        <c:auto val="1"/>
        <c:lblAlgn val="ctr"/>
        <c:lblOffset val="100"/>
        <c:noMultiLvlLbl val="0"/>
      </c:catAx>
      <c:valAx>
        <c:axId val="50699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885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319087</xdr:colOff>
      <xdr:row>11</xdr:row>
      <xdr:rowOff>52387</xdr:rowOff>
    </xdr:from>
    <xdr:to>
      <xdr:col>12</xdr:col>
      <xdr:colOff>404812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89163C-38AB-48D7-A781-7DAABBE32F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mba Ejike John" refreshedDate="46171.781733564814" createdVersion="6" refreshedVersion="6" minRefreshableVersion="3" recordCount="150" xr:uid="{91CDD25F-BA9F-4A35-AFD0-4BB427B620DC}">
  <cacheSource type="worksheet">
    <worksheetSource name="Table4"/>
  </cacheSource>
  <cacheFields count="8">
    <cacheField name="OrderID" numFmtId="0">
      <sharedItems containsSemiMixedTypes="0" containsString="0" containsNumber="1" containsInteger="1" minValue="1001" maxValue="1150"/>
    </cacheField>
    <cacheField name="OrderDate" numFmtId="14">
      <sharedItems containsSemiMixedTypes="0" containsNonDate="0" containsDate="1" containsString="0" minDate="2024-01-03T00:00:00" maxDate="2024-12-30T00:00:00"/>
    </cacheField>
    <cacheField name="Region" numFmtId="0">
      <sharedItems count="4">
        <s v="North"/>
        <s v="South"/>
        <s v="East"/>
        <s v="West"/>
      </sharedItems>
    </cacheField>
    <cacheField name="Category" numFmtId="0">
      <sharedItems count="4">
        <s v="Electronics"/>
        <s v="Clothing"/>
        <s v="Home &amp; Garden"/>
        <s v="Sports"/>
      </sharedItems>
    </cacheField>
    <cacheField name="Product" numFmtId="0">
      <sharedItems/>
    </cacheField>
    <cacheField name="Quantity" numFmtId="0">
      <sharedItems containsSemiMixedTypes="0" containsString="0" containsNumber="1" containsInteger="1" minValue="1" maxValue="9"/>
    </cacheField>
    <cacheField name="UnitPrice" numFmtId="0">
      <sharedItems containsSemiMixedTypes="0" containsString="0" containsNumber="1" minValue="14.99" maxValue="1299.99"/>
    </cacheField>
    <cacheField name="Revenue" numFmtId="0">
      <sharedItems containsSemiMixedTypes="0" containsString="0" containsNumber="1" minValue="29.99" maxValue="4499.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n v="1001"/>
    <d v="2024-01-15T00:00:00"/>
    <x v="0"/>
    <x v="0"/>
    <s v="Laptop"/>
    <n v="3"/>
    <n v="999.99"/>
    <n v="2999.9700000000003"/>
  </r>
  <r>
    <n v="1002"/>
    <d v="2024-02-20T00:00:00"/>
    <x v="1"/>
    <x v="1"/>
    <s v="T-Shirt"/>
    <n v="5"/>
    <n v="19.989999999999998"/>
    <n v="99.949999999999989"/>
  </r>
  <r>
    <n v="1003"/>
    <d v="2024-03-12T00:00:00"/>
    <x v="2"/>
    <x v="2"/>
    <s v="Sofa"/>
    <n v="1"/>
    <n v="499.5"/>
    <n v="499.5"/>
  </r>
  <r>
    <n v="1004"/>
    <d v="2024-04-05T00:00:00"/>
    <x v="3"/>
    <x v="3"/>
    <s v="Tennis Racket"/>
    <n v="2"/>
    <n v="89.99"/>
    <n v="179.98"/>
  </r>
  <r>
    <n v="1005"/>
    <d v="2024-05-18T00:00:00"/>
    <x v="0"/>
    <x v="0"/>
    <s v="Phone"/>
    <n v="4"/>
    <n v="699.99"/>
    <n v="2799.96"/>
  </r>
  <r>
    <n v="1006"/>
    <d v="2024-06-22T00:00:00"/>
    <x v="1"/>
    <x v="1"/>
    <s v="Jeans"/>
    <n v="6"/>
    <n v="49.99"/>
    <n v="299.94"/>
  </r>
  <r>
    <n v="1007"/>
    <d v="2024-07-30T00:00:00"/>
    <x v="2"/>
    <x v="2"/>
    <s v="Lamp"/>
    <n v="3"/>
    <n v="29.99"/>
    <n v="89.97"/>
  </r>
  <r>
    <n v="1008"/>
    <d v="2024-08-14T00:00:00"/>
    <x v="3"/>
    <x v="3"/>
    <s v="Basketball"/>
    <n v="2"/>
    <n v="24.99"/>
    <n v="49.98"/>
  </r>
  <r>
    <n v="1009"/>
    <d v="2024-09-09T00:00:00"/>
    <x v="0"/>
    <x v="0"/>
    <s v="Tablet"/>
    <n v="1"/>
    <n v="399.99"/>
    <n v="399.99"/>
  </r>
  <r>
    <n v="1010"/>
    <d v="2024-10-25T00:00:00"/>
    <x v="1"/>
    <x v="1"/>
    <s v="Jacket"/>
    <n v="2"/>
    <n v="79.989999999999995"/>
    <n v="159.97999999999999"/>
  </r>
  <r>
    <n v="1011"/>
    <d v="2024-11-11T00:00:00"/>
    <x v="2"/>
    <x v="2"/>
    <s v="Chair"/>
    <n v="4"/>
    <n v="89.99"/>
    <n v="359.96"/>
  </r>
  <r>
    <n v="1012"/>
    <d v="2024-12-01T00:00:00"/>
    <x v="3"/>
    <x v="3"/>
    <s v="Yoga Mat"/>
    <n v="3"/>
    <n v="34.99"/>
    <n v="104.97"/>
  </r>
  <r>
    <n v="1013"/>
    <d v="2024-01-27T00:00:00"/>
    <x v="0"/>
    <x v="0"/>
    <s v="Laptop"/>
    <n v="2"/>
    <n v="1049.99"/>
    <n v="2099.98"/>
  </r>
  <r>
    <n v="1014"/>
    <d v="2024-02-14T00:00:00"/>
    <x v="1"/>
    <x v="1"/>
    <s v="T-Shirt"/>
    <n v="7"/>
    <n v="18.5"/>
    <n v="129.5"/>
  </r>
  <r>
    <n v="1015"/>
    <d v="2024-03-22T00:00:00"/>
    <x v="2"/>
    <x v="2"/>
    <s v="Sofa"/>
    <n v="1"/>
    <n v="599.99"/>
    <n v="599.99"/>
  </r>
  <r>
    <n v="1016"/>
    <d v="2024-04-17T00:00:00"/>
    <x v="3"/>
    <x v="3"/>
    <s v="Tennis Racket"/>
    <n v="1"/>
    <n v="95"/>
    <n v="95"/>
  </r>
  <r>
    <n v="1017"/>
    <d v="2024-05-03T00:00:00"/>
    <x v="0"/>
    <x v="0"/>
    <s v="Phone"/>
    <n v="5"/>
    <n v="749.99"/>
    <n v="3749.95"/>
  </r>
  <r>
    <n v="1018"/>
    <d v="2024-06-19T00:00:00"/>
    <x v="1"/>
    <x v="1"/>
    <s v="Jeans"/>
    <n v="4"/>
    <n v="59.99"/>
    <n v="239.96"/>
  </r>
  <r>
    <n v="1019"/>
    <d v="2024-07-08T00:00:00"/>
    <x v="2"/>
    <x v="2"/>
    <s v="Lamp"/>
    <n v="2"/>
    <n v="39.99"/>
    <n v="79.98"/>
  </r>
  <r>
    <n v="1020"/>
    <d v="2024-08-27T00:00:00"/>
    <x v="3"/>
    <x v="3"/>
    <s v="Basketball"/>
    <n v="3"/>
    <n v="22.5"/>
    <n v="67.5"/>
  </r>
  <r>
    <n v="1021"/>
    <d v="2024-09-14T00:00:00"/>
    <x v="0"/>
    <x v="0"/>
    <s v="Tablet"/>
    <n v="2"/>
    <n v="449.99"/>
    <n v="899.98"/>
  </r>
  <r>
    <n v="1022"/>
    <d v="2024-10-05T00:00:00"/>
    <x v="1"/>
    <x v="1"/>
    <s v="Jacket"/>
    <n v="1"/>
    <n v="89.99"/>
    <n v="89.99"/>
  </r>
  <r>
    <n v="1023"/>
    <d v="2024-11-28T00:00:00"/>
    <x v="2"/>
    <x v="2"/>
    <s v="Chair"/>
    <n v="5"/>
    <n v="79.989999999999995"/>
    <n v="399.95"/>
  </r>
  <r>
    <n v="1024"/>
    <d v="2024-12-12T00:00:00"/>
    <x v="3"/>
    <x v="3"/>
    <s v="Yoga Mat"/>
    <n v="2"/>
    <n v="39.99"/>
    <n v="79.98"/>
  </r>
  <r>
    <n v="1025"/>
    <d v="2024-01-09T00:00:00"/>
    <x v="0"/>
    <x v="0"/>
    <s v="Laptop"/>
    <n v="4"/>
    <n v="899.99"/>
    <n v="3599.96"/>
  </r>
  <r>
    <n v="1026"/>
    <d v="2024-02-25T00:00:00"/>
    <x v="1"/>
    <x v="1"/>
    <s v="T-Shirt"/>
    <n v="8"/>
    <n v="15.99"/>
    <n v="127.92"/>
  </r>
  <r>
    <n v="1027"/>
    <d v="2024-03-18T00:00:00"/>
    <x v="2"/>
    <x v="2"/>
    <s v="Sofa"/>
    <n v="1"/>
    <n v="649.99"/>
    <n v="649.99"/>
  </r>
  <r>
    <n v="1028"/>
    <d v="2024-04-22T00:00:00"/>
    <x v="3"/>
    <x v="3"/>
    <s v="Tennis Racket"/>
    <n v="3"/>
    <n v="99.99"/>
    <n v="299.96999999999997"/>
  </r>
  <r>
    <n v="1029"/>
    <d v="2024-05-29T00:00:00"/>
    <x v="0"/>
    <x v="0"/>
    <s v="Phone"/>
    <n v="3"/>
    <n v="799.99"/>
    <n v="2399.9700000000003"/>
  </r>
  <r>
    <n v="1030"/>
    <d v="2024-06-11T00:00:00"/>
    <x v="1"/>
    <x v="1"/>
    <s v="Jeans"/>
    <n v="5"/>
    <n v="69.989999999999995"/>
    <n v="349.95"/>
  </r>
  <r>
    <n v="1031"/>
    <d v="2024-07-23T00:00:00"/>
    <x v="2"/>
    <x v="2"/>
    <s v="Lamp"/>
    <n v="4"/>
    <n v="25.5"/>
    <n v="102"/>
  </r>
  <r>
    <n v="1032"/>
    <d v="2024-08-07T00:00:00"/>
    <x v="3"/>
    <x v="3"/>
    <s v="Basketball"/>
    <n v="1"/>
    <n v="29.99"/>
    <n v="29.99"/>
  </r>
  <r>
    <n v="1033"/>
    <d v="2024-09-30T00:00:00"/>
    <x v="0"/>
    <x v="0"/>
    <s v="Tablet"/>
    <n v="3"/>
    <n v="499.99"/>
    <n v="1499.97"/>
  </r>
  <r>
    <n v="1034"/>
    <d v="2024-10-19T00:00:00"/>
    <x v="1"/>
    <x v="1"/>
    <s v="Jacket"/>
    <n v="2"/>
    <n v="99.99"/>
    <n v="199.98"/>
  </r>
  <r>
    <n v="1035"/>
    <d v="2024-11-15T00:00:00"/>
    <x v="2"/>
    <x v="2"/>
    <s v="Chair"/>
    <n v="3"/>
    <n v="109.99"/>
    <n v="329.96999999999997"/>
  </r>
  <r>
    <n v="1036"/>
    <d v="2024-12-04T00:00:00"/>
    <x v="3"/>
    <x v="3"/>
    <s v="Yoga Mat"/>
    <n v="4"/>
    <n v="29.99"/>
    <n v="119.96"/>
  </r>
  <r>
    <n v="1037"/>
    <d v="2024-01-21T00:00:00"/>
    <x v="0"/>
    <x v="0"/>
    <s v="Laptop"/>
    <n v="2"/>
    <n v="1199.99"/>
    <n v="2399.98"/>
  </r>
  <r>
    <n v="1038"/>
    <d v="2024-02-09T00:00:00"/>
    <x v="1"/>
    <x v="1"/>
    <s v="T-Shirt"/>
    <n v="6"/>
    <n v="22.99"/>
    <n v="137.94"/>
  </r>
  <r>
    <n v="1039"/>
    <d v="2024-03-27T00:00:00"/>
    <x v="2"/>
    <x v="2"/>
    <s v="Sofa"/>
    <n v="1"/>
    <n v="749.99"/>
    <n v="749.99"/>
  </r>
  <r>
    <n v="1040"/>
    <d v="2024-04-12T00:00:00"/>
    <x v="3"/>
    <x v="3"/>
    <s v="Tennis Racket"/>
    <n v="2"/>
    <n v="79.989999999999995"/>
    <n v="159.97999999999999"/>
  </r>
  <r>
    <n v="1041"/>
    <d v="2024-05-07T00:00:00"/>
    <x v="0"/>
    <x v="0"/>
    <s v="Phone"/>
    <n v="6"/>
    <n v="649.99"/>
    <n v="3899.94"/>
  </r>
  <r>
    <n v="1042"/>
    <d v="2024-06-29T00:00:00"/>
    <x v="1"/>
    <x v="1"/>
    <s v="Jeans"/>
    <n v="3"/>
    <n v="79.989999999999995"/>
    <n v="239.96999999999997"/>
  </r>
  <r>
    <n v="1043"/>
    <d v="2024-07-17T00:00:00"/>
    <x v="2"/>
    <x v="2"/>
    <s v="Lamp"/>
    <n v="5"/>
    <n v="19.989999999999998"/>
    <n v="99.949999999999989"/>
  </r>
  <r>
    <n v="1044"/>
    <d v="2024-08-19T00:00:00"/>
    <x v="3"/>
    <x v="3"/>
    <s v="Basketball"/>
    <n v="2"/>
    <n v="34.99"/>
    <n v="69.98"/>
  </r>
  <r>
    <n v="1045"/>
    <d v="2024-09-06T00:00:00"/>
    <x v="0"/>
    <x v="0"/>
    <s v="Tablet"/>
    <n v="1"/>
    <n v="549.99"/>
    <n v="549.99"/>
  </r>
  <r>
    <n v="1046"/>
    <d v="2024-10-29T00:00:00"/>
    <x v="1"/>
    <x v="1"/>
    <s v="Jacket"/>
    <n v="3"/>
    <n v="69.989999999999995"/>
    <n v="209.96999999999997"/>
  </r>
  <r>
    <n v="1047"/>
    <d v="2024-11-09T00:00:00"/>
    <x v="2"/>
    <x v="2"/>
    <s v="Chair"/>
    <n v="6"/>
    <n v="69.989999999999995"/>
    <n v="419.93999999999994"/>
  </r>
  <r>
    <n v="1048"/>
    <d v="2024-12-18T00:00:00"/>
    <x v="3"/>
    <x v="3"/>
    <s v="Yoga Mat"/>
    <n v="1"/>
    <n v="49.99"/>
    <n v="49.99"/>
  </r>
  <r>
    <n v="1049"/>
    <d v="2024-01-29T00:00:00"/>
    <x v="0"/>
    <x v="0"/>
    <s v="Laptop"/>
    <n v="3"/>
    <n v="1099.99"/>
    <n v="3299.9700000000003"/>
  </r>
  <r>
    <n v="1050"/>
    <d v="2024-02-11T00:00:00"/>
    <x v="1"/>
    <x v="1"/>
    <s v="T-Shirt"/>
    <n v="9"/>
    <n v="14.99"/>
    <n v="134.91"/>
  </r>
  <r>
    <n v="1051"/>
    <d v="2024-03-08T00:00:00"/>
    <x v="2"/>
    <x v="2"/>
    <s v="Sofa"/>
    <n v="1"/>
    <n v="899.99"/>
    <n v="899.99"/>
  </r>
  <r>
    <n v="1052"/>
    <d v="2024-04-26T00:00:00"/>
    <x v="3"/>
    <x v="3"/>
    <s v="Tennis Racket"/>
    <n v="4"/>
    <n v="69.989999999999995"/>
    <n v="279.95999999999998"/>
  </r>
  <r>
    <n v="1053"/>
    <d v="2024-05-21T00:00:00"/>
    <x v="0"/>
    <x v="0"/>
    <s v="Phone"/>
    <n v="2"/>
    <n v="899.99"/>
    <n v="1799.98"/>
  </r>
  <r>
    <n v="1054"/>
    <d v="2024-06-07T00:00:00"/>
    <x v="1"/>
    <x v="1"/>
    <s v="Jeans"/>
    <n v="7"/>
    <n v="44.99"/>
    <n v="314.93"/>
  </r>
  <r>
    <n v="1055"/>
    <d v="2024-07-31T00:00:00"/>
    <x v="2"/>
    <x v="2"/>
    <s v="Lamp"/>
    <n v="2"/>
    <n v="49.99"/>
    <n v="99.98"/>
  </r>
  <r>
    <n v="1056"/>
    <d v="2024-08-23T00:00:00"/>
    <x v="3"/>
    <x v="3"/>
    <s v="Basketball"/>
    <n v="4"/>
    <n v="19.989999999999998"/>
    <n v="79.959999999999994"/>
  </r>
  <r>
    <n v="1057"/>
    <d v="2024-09-19T00:00:00"/>
    <x v="0"/>
    <x v="0"/>
    <s v="Tablet"/>
    <n v="2"/>
    <n v="379.99"/>
    <n v="759.98"/>
  </r>
  <r>
    <n v="1058"/>
    <d v="2024-10-14T00:00:00"/>
    <x v="1"/>
    <x v="1"/>
    <s v="Jacket"/>
    <n v="1"/>
    <n v="119.99"/>
    <n v="119.99"/>
  </r>
  <r>
    <n v="1059"/>
    <d v="2024-11-25T00:00:00"/>
    <x v="2"/>
    <x v="2"/>
    <s v="Chair"/>
    <n v="4"/>
    <n v="99.99"/>
    <n v="399.96"/>
  </r>
  <r>
    <n v="1060"/>
    <d v="2024-12-09T00:00:00"/>
    <x v="3"/>
    <x v="3"/>
    <s v="Yoga Mat"/>
    <n v="3"/>
    <n v="44.99"/>
    <n v="134.97"/>
  </r>
  <r>
    <n v="1061"/>
    <d v="2024-01-18T00:00:00"/>
    <x v="0"/>
    <x v="0"/>
    <s v="Laptop"/>
    <n v="1"/>
    <n v="1299.99"/>
    <n v="1299.99"/>
  </r>
  <r>
    <n v="1062"/>
    <d v="2024-02-28T00:00:00"/>
    <x v="1"/>
    <x v="1"/>
    <s v="T-Shirt"/>
    <n v="5"/>
    <n v="24.99"/>
    <n v="124.94999999999999"/>
  </r>
  <r>
    <n v="1063"/>
    <d v="2024-03-15T00:00:00"/>
    <x v="2"/>
    <x v="2"/>
    <s v="Sofa"/>
    <n v="1"/>
    <n v="549.99"/>
    <n v="549.99"/>
  </r>
  <r>
    <n v="1064"/>
    <d v="2024-04-08T00:00:00"/>
    <x v="3"/>
    <x v="3"/>
    <s v="Tennis Racket"/>
    <n v="2"/>
    <n v="109.99"/>
    <n v="219.98"/>
  </r>
  <r>
    <n v="1065"/>
    <d v="2024-05-12T00:00:00"/>
    <x v="0"/>
    <x v="0"/>
    <s v="Phone"/>
    <n v="4"/>
    <n v="699.99"/>
    <n v="2799.96"/>
  </r>
  <r>
    <n v="1066"/>
    <d v="2024-06-25T00:00:00"/>
    <x v="1"/>
    <x v="1"/>
    <s v="Jeans"/>
    <n v="3"/>
    <n v="89.99"/>
    <n v="269.96999999999997"/>
  </r>
  <r>
    <n v="1067"/>
    <d v="2024-07-09T00:00:00"/>
    <x v="2"/>
    <x v="2"/>
    <s v="Lamp"/>
    <n v="6"/>
    <n v="22.5"/>
    <n v="135"/>
  </r>
  <r>
    <n v="1068"/>
    <d v="2024-08-01T00:00:00"/>
    <x v="3"/>
    <x v="3"/>
    <s v="Basketball"/>
    <n v="3"/>
    <n v="27.99"/>
    <n v="83.97"/>
  </r>
  <r>
    <n v="1069"/>
    <d v="2024-09-23T00:00:00"/>
    <x v="0"/>
    <x v="0"/>
    <s v="Tablet"/>
    <n v="3"/>
    <n v="429.99"/>
    <n v="1289.97"/>
  </r>
  <r>
    <n v="1070"/>
    <d v="2024-10-17T00:00:00"/>
    <x v="1"/>
    <x v="1"/>
    <s v="Jacket"/>
    <n v="2"/>
    <n v="109.99"/>
    <n v="219.98"/>
  </r>
  <r>
    <n v="1071"/>
    <d v="2024-11-05T00:00:00"/>
    <x v="2"/>
    <x v="2"/>
    <s v="Chair"/>
    <n v="5"/>
    <n v="59.99"/>
    <n v="299.95"/>
  </r>
  <r>
    <n v="1072"/>
    <d v="2024-12-22T00:00:00"/>
    <x v="3"/>
    <x v="3"/>
    <s v="Yoga Mat"/>
    <n v="2"/>
    <n v="54.99"/>
    <n v="109.98"/>
  </r>
  <r>
    <n v="1073"/>
    <d v="2024-01-03T00:00:00"/>
    <x v="0"/>
    <x v="0"/>
    <s v="Laptop"/>
    <n v="4"/>
    <n v="949.99"/>
    <n v="3799.96"/>
  </r>
  <r>
    <n v="1074"/>
    <d v="2024-02-17T00:00:00"/>
    <x v="1"/>
    <x v="1"/>
    <s v="T-Shirt"/>
    <n v="7"/>
    <n v="17.5"/>
    <n v="122.5"/>
  </r>
  <r>
    <n v="1075"/>
    <d v="2024-03-25T00:00:00"/>
    <x v="2"/>
    <x v="2"/>
    <s v="Sofa"/>
    <n v="1"/>
    <n v="699.99"/>
    <n v="699.99"/>
  </r>
  <r>
    <n v="1076"/>
    <d v="2024-04-29T00:00:00"/>
    <x v="3"/>
    <x v="3"/>
    <s v="Tennis Racket"/>
    <n v="3"/>
    <n v="84.99"/>
    <n v="254.96999999999997"/>
  </r>
  <r>
    <n v="1077"/>
    <d v="2024-05-09T00:00:00"/>
    <x v="0"/>
    <x v="0"/>
    <s v="Phone"/>
    <n v="5"/>
    <n v="779.99"/>
    <n v="3899.95"/>
  </r>
  <r>
    <n v="1078"/>
    <d v="2024-06-14T00:00:00"/>
    <x v="1"/>
    <x v="1"/>
    <s v="Jeans"/>
    <n v="4"/>
    <n v="64.989999999999995"/>
    <n v="259.95999999999998"/>
  </r>
  <r>
    <n v="1079"/>
    <d v="2024-07-02T00:00:00"/>
    <x v="2"/>
    <x v="2"/>
    <s v="Lamp"/>
    <n v="3"/>
    <n v="34.99"/>
    <n v="104.97"/>
  </r>
  <r>
    <n v="1080"/>
    <d v="2024-08-26T00:00:00"/>
    <x v="3"/>
    <x v="3"/>
    <s v="Basketball"/>
    <n v="1"/>
    <n v="39.99"/>
    <n v="39.99"/>
  </r>
  <r>
    <n v="1081"/>
    <d v="2024-09-12T00:00:00"/>
    <x v="0"/>
    <x v="0"/>
    <s v="Tablet"/>
    <n v="2"/>
    <n v="519.99"/>
    <n v="1039.98"/>
  </r>
  <r>
    <n v="1082"/>
    <d v="2024-10-07T00:00:00"/>
    <x v="1"/>
    <x v="1"/>
    <s v="Jacket"/>
    <n v="3"/>
    <n v="79.989999999999995"/>
    <n v="239.96999999999997"/>
  </r>
  <r>
    <n v="1083"/>
    <d v="2024-11-19T00:00:00"/>
    <x v="2"/>
    <x v="2"/>
    <s v="Chair"/>
    <n v="2"/>
    <n v="119.99"/>
    <n v="239.98"/>
  </r>
  <r>
    <n v="1084"/>
    <d v="2024-12-27T00:00:00"/>
    <x v="3"/>
    <x v="3"/>
    <s v="Yoga Mat"/>
    <n v="5"/>
    <n v="29.99"/>
    <n v="149.94999999999999"/>
  </r>
  <r>
    <n v="1085"/>
    <d v="2024-01-31T00:00:00"/>
    <x v="0"/>
    <x v="0"/>
    <s v="Laptop"/>
    <n v="2"/>
    <n v="1149.99"/>
    <n v="2299.98"/>
  </r>
  <r>
    <n v="1086"/>
    <d v="2024-02-08T00:00:00"/>
    <x v="1"/>
    <x v="1"/>
    <s v="T-Shirt"/>
    <n v="8"/>
    <n v="20.99"/>
    <n v="167.92"/>
  </r>
  <r>
    <n v="1087"/>
    <d v="2024-03-05T00:00:00"/>
    <x v="2"/>
    <x v="2"/>
    <s v="Sofa"/>
    <n v="1"/>
    <n v="799.99"/>
    <n v="799.99"/>
  </r>
  <r>
    <n v="1088"/>
    <d v="2024-04-18T00:00:00"/>
    <x v="3"/>
    <x v="3"/>
    <s v="Tennis Racket"/>
    <n v="1"/>
    <n v="129.99"/>
    <n v="129.99"/>
  </r>
  <r>
    <n v="1089"/>
    <d v="2024-05-26T00:00:00"/>
    <x v="0"/>
    <x v="0"/>
    <s v="Phone"/>
    <n v="3"/>
    <n v="849.99"/>
    <n v="2549.9700000000003"/>
  </r>
  <r>
    <n v="1090"/>
    <d v="2024-06-09T00:00:00"/>
    <x v="1"/>
    <x v="1"/>
    <s v="Jeans"/>
    <n v="6"/>
    <n v="54.99"/>
    <n v="329.94"/>
  </r>
  <r>
    <n v="1091"/>
    <d v="2024-07-24T00:00:00"/>
    <x v="2"/>
    <x v="2"/>
    <s v="Lamp"/>
    <n v="4"/>
    <n v="29.99"/>
    <n v="119.96"/>
  </r>
  <r>
    <n v="1092"/>
    <d v="2024-08-12T00:00:00"/>
    <x v="3"/>
    <x v="3"/>
    <s v="Basketball"/>
    <n v="2"/>
    <n v="44.99"/>
    <n v="89.98"/>
  </r>
  <r>
    <n v="1093"/>
    <d v="2024-09-28T00:00:00"/>
    <x v="0"/>
    <x v="0"/>
    <s v="Tablet"/>
    <n v="4"/>
    <n v="399.99"/>
    <n v="1599.96"/>
  </r>
  <r>
    <n v="1094"/>
    <d v="2024-10-22T00:00:00"/>
    <x v="1"/>
    <x v="1"/>
    <s v="Jacket"/>
    <n v="1"/>
    <n v="129.99"/>
    <n v="129.99"/>
  </r>
  <r>
    <n v="1095"/>
    <d v="2024-11-01T00:00:00"/>
    <x v="2"/>
    <x v="2"/>
    <s v="Chair"/>
    <n v="3"/>
    <n v="89.99"/>
    <n v="269.96999999999997"/>
  </r>
  <r>
    <n v="1096"/>
    <d v="2024-12-15T00:00:00"/>
    <x v="3"/>
    <x v="3"/>
    <s v="Yoga Mat"/>
    <n v="3"/>
    <n v="39.99"/>
    <n v="119.97"/>
  </r>
  <r>
    <n v="1097"/>
    <d v="2024-01-07T00:00:00"/>
    <x v="0"/>
    <x v="0"/>
    <s v="Laptop"/>
    <n v="5"/>
    <n v="899.99"/>
    <n v="4499.95"/>
  </r>
  <r>
    <n v="1098"/>
    <d v="2024-02-19T00:00:00"/>
    <x v="1"/>
    <x v="1"/>
    <s v="T-Shirt"/>
    <n v="6"/>
    <n v="21.5"/>
    <n v="129"/>
  </r>
  <r>
    <n v="1099"/>
    <d v="2024-03-29T00:00:00"/>
    <x v="2"/>
    <x v="2"/>
    <s v="Sofa"/>
    <n v="1"/>
    <n v="649.99"/>
    <n v="649.99"/>
  </r>
  <r>
    <n v="1100"/>
    <d v="2024-04-09T00:00:00"/>
    <x v="3"/>
    <x v="3"/>
    <s v="Tennis Racket"/>
    <n v="2"/>
    <n v="94.99"/>
    <n v="189.98"/>
  </r>
  <r>
    <n v="1101"/>
    <d v="2024-05-16T00:00:00"/>
    <x v="0"/>
    <x v="0"/>
    <s v="Phone"/>
    <n v="4"/>
    <n v="729.99"/>
    <n v="2919.96"/>
  </r>
  <r>
    <n v="1102"/>
    <d v="2024-06-27T00:00:00"/>
    <x v="1"/>
    <x v="1"/>
    <s v="Jeans"/>
    <n v="5"/>
    <n v="49.99"/>
    <n v="249.95000000000002"/>
  </r>
  <r>
    <n v="1103"/>
    <d v="2024-07-11T00:00:00"/>
    <x v="2"/>
    <x v="2"/>
    <s v="Lamp"/>
    <n v="2"/>
    <n v="44.99"/>
    <n v="89.98"/>
  </r>
  <r>
    <n v="1104"/>
    <d v="2024-08-29T00:00:00"/>
    <x v="3"/>
    <x v="3"/>
    <s v="Basketball"/>
    <n v="4"/>
    <n v="22.99"/>
    <n v="91.96"/>
  </r>
  <r>
    <n v="1105"/>
    <d v="2024-09-03T00:00:00"/>
    <x v="0"/>
    <x v="0"/>
    <s v="Tablet"/>
    <n v="1"/>
    <n v="479.99"/>
    <n v="479.99"/>
  </r>
  <r>
    <n v="1106"/>
    <d v="2024-10-31T00:00:00"/>
    <x v="1"/>
    <x v="1"/>
    <s v="Jacket"/>
    <n v="2"/>
    <n v="99.99"/>
    <n v="199.98"/>
  </r>
  <r>
    <n v="1107"/>
    <d v="2024-11-22T00:00:00"/>
    <x v="2"/>
    <x v="2"/>
    <s v="Chair"/>
    <n v="6"/>
    <n v="79.989999999999995"/>
    <n v="479.93999999999994"/>
  </r>
  <r>
    <n v="1108"/>
    <d v="2024-12-02T00:00:00"/>
    <x v="3"/>
    <x v="3"/>
    <s v="Yoga Mat"/>
    <n v="1"/>
    <n v="59.99"/>
    <n v="59.99"/>
  </r>
  <r>
    <n v="1109"/>
    <d v="2024-01-23T00:00:00"/>
    <x v="0"/>
    <x v="0"/>
    <s v="Laptop"/>
    <n v="3"/>
    <n v="1049.99"/>
    <n v="3149.9700000000003"/>
  </r>
  <r>
    <n v="1110"/>
    <d v="2024-02-05T00:00:00"/>
    <x v="1"/>
    <x v="1"/>
    <s v="T-Shirt"/>
    <n v="9"/>
    <n v="16.989999999999998"/>
    <n v="152.91"/>
  </r>
  <r>
    <n v="1111"/>
    <d v="2024-03-19T00:00:00"/>
    <x v="2"/>
    <x v="2"/>
    <s v="Sofa"/>
    <n v="1"/>
    <n v="549.99"/>
    <n v="549.99"/>
  </r>
  <r>
    <n v="1112"/>
    <d v="2024-04-28T00:00:00"/>
    <x v="3"/>
    <x v="3"/>
    <s v="Tennis Racket"/>
    <n v="3"/>
    <n v="74.989999999999995"/>
    <n v="224.96999999999997"/>
  </r>
  <r>
    <n v="1113"/>
    <d v="2024-05-02T00:00:00"/>
    <x v="0"/>
    <x v="0"/>
    <s v="Phone"/>
    <n v="5"/>
    <n v="679.99"/>
    <n v="3399.95"/>
  </r>
  <r>
    <n v="1114"/>
    <d v="2024-06-17T00:00:00"/>
    <x v="1"/>
    <x v="1"/>
    <s v="Jeans"/>
    <n v="2"/>
    <n v="79.989999999999995"/>
    <n v="159.97999999999999"/>
  </r>
  <r>
    <n v="1115"/>
    <d v="2024-07-29T00:00:00"/>
    <x v="2"/>
    <x v="2"/>
    <s v="Lamp"/>
    <n v="5"/>
    <n v="19.989999999999998"/>
    <n v="99.949999999999989"/>
  </r>
  <r>
    <n v="1116"/>
    <d v="2024-08-15T00:00:00"/>
    <x v="3"/>
    <x v="3"/>
    <s v="Basketball"/>
    <n v="3"/>
    <n v="29.99"/>
    <n v="89.97"/>
  </r>
  <r>
    <n v="1117"/>
    <d v="2024-09-26T00:00:00"/>
    <x v="0"/>
    <x v="0"/>
    <s v="Tablet"/>
    <n v="2"/>
    <n v="529.99"/>
    <n v="1059.98"/>
  </r>
  <r>
    <n v="1118"/>
    <d v="2024-10-11T00:00:00"/>
    <x v="1"/>
    <x v="1"/>
    <s v="Jacket"/>
    <n v="3"/>
    <n v="89.99"/>
    <n v="269.96999999999997"/>
  </r>
  <r>
    <n v="1119"/>
    <d v="2024-11-29T00:00:00"/>
    <x v="2"/>
    <x v="2"/>
    <s v="Chair"/>
    <n v="4"/>
    <n v="109.99"/>
    <n v="439.96"/>
  </r>
  <r>
    <n v="1120"/>
    <d v="2024-12-24T00:00:00"/>
    <x v="3"/>
    <x v="3"/>
    <s v="Yoga Mat"/>
    <n v="2"/>
    <n v="49.99"/>
    <n v="99.98"/>
  </r>
  <r>
    <n v="1121"/>
    <d v="2024-01-12T00:00:00"/>
    <x v="0"/>
    <x v="0"/>
    <s v="Laptop"/>
    <n v="2"/>
    <n v="1199.99"/>
    <n v="2399.98"/>
  </r>
  <r>
    <n v="1122"/>
    <d v="2024-02-22T00:00:00"/>
    <x v="1"/>
    <x v="1"/>
    <s v="T-Shirt"/>
    <n v="7"/>
    <n v="23.99"/>
    <n v="167.92999999999998"/>
  </r>
  <r>
    <n v="1123"/>
    <d v="2024-03-07T00:00:00"/>
    <x v="2"/>
    <x v="2"/>
    <s v="Sofa"/>
    <n v="1"/>
    <n v="749.99"/>
    <n v="749.99"/>
  </r>
  <r>
    <n v="1124"/>
    <d v="2024-04-23T00:00:00"/>
    <x v="3"/>
    <x v="3"/>
    <s v="Tennis Racket"/>
    <n v="2"/>
    <n v="109.99"/>
    <n v="219.98"/>
  </r>
  <r>
    <n v="1125"/>
    <d v="2024-05-30T00:00:00"/>
    <x v="0"/>
    <x v="0"/>
    <s v="Phone"/>
    <n v="3"/>
    <n v="799.99"/>
    <n v="2399.9700000000003"/>
  </r>
  <r>
    <n v="1126"/>
    <d v="2024-06-05T00:00:00"/>
    <x v="1"/>
    <x v="1"/>
    <s v="Jeans"/>
    <n v="4"/>
    <n v="69.989999999999995"/>
    <n v="279.95999999999998"/>
  </r>
  <r>
    <n v="1127"/>
    <d v="2024-07-19T00:00:00"/>
    <x v="2"/>
    <x v="2"/>
    <s v="Lamp"/>
    <n v="3"/>
    <n v="39.99"/>
    <n v="119.97"/>
  </r>
  <r>
    <n v="1128"/>
    <d v="2024-08-09T00:00:00"/>
    <x v="3"/>
    <x v="3"/>
    <s v="Basketball"/>
    <n v="1"/>
    <n v="34.99"/>
    <n v="34.99"/>
  </r>
  <r>
    <n v="1129"/>
    <d v="2024-09-18T00:00:00"/>
    <x v="0"/>
    <x v="0"/>
    <s v="Tablet"/>
    <n v="3"/>
    <n v="449.99"/>
    <n v="1349.97"/>
  </r>
  <r>
    <n v="1130"/>
    <d v="2024-10-27T00:00:00"/>
    <x v="1"/>
    <x v="1"/>
    <s v="Jacket"/>
    <n v="2"/>
    <n v="119.99"/>
    <n v="239.98"/>
  </r>
  <r>
    <n v="1131"/>
    <d v="2024-11-08T00:00:00"/>
    <x v="2"/>
    <x v="2"/>
    <s v="Chair"/>
    <n v="5"/>
    <n v="69.989999999999995"/>
    <n v="349.95"/>
  </r>
  <r>
    <n v="1132"/>
    <d v="2024-12-29T00:00:00"/>
    <x v="3"/>
    <x v="3"/>
    <s v="Yoga Mat"/>
    <n v="4"/>
    <n v="29.99"/>
    <n v="119.96"/>
  </r>
  <r>
    <n v="1133"/>
    <d v="2024-01-17T00:00:00"/>
    <x v="0"/>
    <x v="0"/>
    <s v="Laptop"/>
    <n v="4"/>
    <n v="999.99"/>
    <n v="3999.96"/>
  </r>
  <r>
    <n v="1134"/>
    <d v="2024-02-26T00:00:00"/>
    <x v="1"/>
    <x v="1"/>
    <s v="T-Shirt"/>
    <n v="8"/>
    <n v="18.989999999999998"/>
    <n v="151.91999999999999"/>
  </r>
  <r>
    <n v="1135"/>
    <d v="2024-03-21T00:00:00"/>
    <x v="2"/>
    <x v="2"/>
    <s v="Sofa"/>
    <n v="1"/>
    <n v="899.99"/>
    <n v="899.99"/>
  </r>
  <r>
    <n v="1136"/>
    <d v="2024-04-02T00:00:00"/>
    <x v="3"/>
    <x v="3"/>
    <s v="Tennis Racket"/>
    <n v="1"/>
    <n v="119.99"/>
    <n v="119.99"/>
  </r>
  <r>
    <n v="1137"/>
    <d v="2024-05-23T00:00:00"/>
    <x v="0"/>
    <x v="0"/>
    <s v="Phone"/>
    <n v="6"/>
    <n v="699.99"/>
    <n v="4199.9400000000005"/>
  </r>
  <r>
    <n v="1138"/>
    <d v="2024-06-13T00:00:00"/>
    <x v="1"/>
    <x v="1"/>
    <s v="Jeans"/>
    <n v="3"/>
    <n v="89.99"/>
    <n v="269.96999999999997"/>
  </r>
  <r>
    <n v="1139"/>
    <d v="2024-07-05T00:00:00"/>
    <x v="2"/>
    <x v="2"/>
    <s v="Lamp"/>
    <n v="4"/>
    <n v="24.99"/>
    <n v="99.96"/>
  </r>
  <r>
    <n v="1140"/>
    <d v="2024-08-21T00:00:00"/>
    <x v="3"/>
    <x v="3"/>
    <s v="Basketball"/>
    <n v="2"/>
    <n v="39.99"/>
    <n v="79.98"/>
  </r>
  <r>
    <n v="1141"/>
    <d v="2024-09-11T00:00:00"/>
    <x v="0"/>
    <x v="0"/>
    <s v="Tablet"/>
    <n v="2"/>
    <n v="399.99"/>
    <n v="799.98"/>
  </r>
  <r>
    <n v="1142"/>
    <d v="2024-10-01T00:00:00"/>
    <x v="1"/>
    <x v="1"/>
    <s v="Jacket"/>
    <n v="1"/>
    <n v="139.99"/>
    <n v="139.99"/>
  </r>
  <r>
    <n v="1143"/>
    <d v="2024-11-18T00:00:00"/>
    <x v="2"/>
    <x v="2"/>
    <s v="Chair"/>
    <n v="3"/>
    <n v="99.99"/>
    <n v="299.96999999999997"/>
  </r>
  <r>
    <n v="1144"/>
    <d v="2024-12-07T00:00:00"/>
    <x v="3"/>
    <x v="3"/>
    <s v="Yoga Mat"/>
    <n v="3"/>
    <n v="44.99"/>
    <n v="134.97"/>
  </r>
  <r>
    <n v="1145"/>
    <d v="2024-01-10T00:00:00"/>
    <x v="0"/>
    <x v="0"/>
    <s v="Laptop"/>
    <n v="3"/>
    <n v="1099.99"/>
    <n v="3299.9700000000003"/>
  </r>
  <r>
    <n v="1146"/>
    <d v="2024-02-02T00:00:00"/>
    <x v="1"/>
    <x v="1"/>
    <s v="T-Shirt"/>
    <n v="5"/>
    <n v="22.99"/>
    <n v="114.94999999999999"/>
  </r>
  <r>
    <n v="1147"/>
    <d v="2024-03-28T00:00:00"/>
    <x v="2"/>
    <x v="2"/>
    <s v="Sofa"/>
    <n v="1"/>
    <n v="599.99"/>
    <n v="599.99"/>
  </r>
  <r>
    <n v="1148"/>
    <d v="2024-04-16T00:00:00"/>
    <x v="3"/>
    <x v="3"/>
    <s v="Tennis Racket"/>
    <n v="4"/>
    <n v="79.989999999999995"/>
    <n v="319.95999999999998"/>
  </r>
  <r>
    <n v="1149"/>
    <d v="2024-05-14T00:00:00"/>
    <x v="0"/>
    <x v="0"/>
    <s v="Phone"/>
    <n v="2"/>
    <n v="949.99"/>
    <n v="1899.98"/>
  </r>
  <r>
    <n v="1150"/>
    <d v="2024-06-21T00:00:00"/>
    <x v="1"/>
    <x v="1"/>
    <s v="Jeans"/>
    <n v="7"/>
    <n v="39.99"/>
    <n v="279.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10DC6A-3887-429F-B2BF-8570EEB58D54}" name="PivotTable3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7:F23" firstHeaderRow="1" firstDataRow="2" firstDataCol="1"/>
  <pivotFields count="8">
    <pivotField showAll="0"/>
    <pivotField numFmtId="14" showAll="0"/>
    <pivotField axis="axisRow" showAll="0">
      <items count="5">
        <item x="2"/>
        <item x="0"/>
        <item x="1"/>
        <item x="3"/>
        <item t="default"/>
      </items>
    </pivotField>
    <pivotField axis="axisCol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Reven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75CBB6-5E4A-4A33-B255-C82DB024733D}" name="PivotTable2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I3:J8" firstHeaderRow="1" firstDataRow="1" firstDataCol="1"/>
  <pivotFields count="8">
    <pivotField showAll="0"/>
    <pivotField numFmtId="14" showAll="0"/>
    <pivotField showAll="0">
      <items count="5">
        <item x="2"/>
        <item x="0"/>
        <item x="1"/>
        <item x="3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D3D28F-9CA8-4400-8E0C-4D216A200CBE}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8" firstHeaderRow="1" firstDataRow="1" firstDataCol="1"/>
  <pivotFields count="8">
    <pivotField showAll="0"/>
    <pivotField numFmtId="14"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E46EA4-F39F-41A7-AF7C-DA774F565495}" name="Table2" displayName="Table2" ref="A1:H151" totalsRowShown="0" headerRowDxfId="7" headerRowBorderDxfId="9" tableBorderDxfId="10">
  <autoFilter ref="A1:H151" xr:uid="{92E3211B-0E92-478C-BB60-627482C96AA8}"/>
  <tableColumns count="8">
    <tableColumn id="1" xr3:uid="{46171814-483D-40D2-B355-B2C6529ADF3E}" name="OrderID"/>
    <tableColumn id="2" xr3:uid="{B452E178-A307-4868-9D19-70EDC768CE5E}" name="OrderDate" dataDxfId="8"/>
    <tableColumn id="3" xr3:uid="{2E5EA79E-FB4F-4940-8AD5-B8E9208B7EA3}" name="Region"/>
    <tableColumn id="4" xr3:uid="{DC54F42C-BBC4-42E1-9A18-48FF5C44B2DE}" name="Category"/>
    <tableColumn id="5" xr3:uid="{FDC3A631-D12B-4AAD-A0D1-BD1E43B9E1A7}" name="Product"/>
    <tableColumn id="6" xr3:uid="{03B39AAD-94E3-4F45-AB35-4B5E95F4B262}" name="Quantity"/>
    <tableColumn id="7" xr3:uid="{8E47AD57-AB21-4841-B999-1ADF464A75D2}" name="UnitPrice"/>
    <tableColumn id="8" xr3:uid="{8AA64EA5-C1B1-410F-A5FE-91E346015A93}" name="Reven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11CA87-63CB-4DF6-AE6E-A18EB46FF8CF}" name="Table3" displayName="Table3" ref="A1:H151" totalsRowShown="0" headerRowDxfId="2">
  <autoFilter ref="A1:H151" xr:uid="{C5883918-9CF1-453C-9116-C3C1B9714F40}"/>
  <tableColumns count="8">
    <tableColumn id="1" xr3:uid="{92D873E0-0D0D-4D4E-AE6A-6FD924226734}" name="OrderID">
      <calculatedColumnFormula>A1+1</calculatedColumnFormula>
    </tableColumn>
    <tableColumn id="2" xr3:uid="{42046FDE-71BA-4667-9C29-65D75D79CB32}" name="OrderDate" dataDxfId="1">
      <calculatedColumnFormula>RANDBETWEEN(DATE(2024,1,1),DATE(2024,12,30))</calculatedColumnFormula>
    </tableColumn>
    <tableColumn id="3" xr3:uid="{D84230A3-D9F4-4FEE-89B4-A536048D4888}" name="Region">
      <calculatedColumnFormula>CHOOSE(RANDBETWEEN(1,4), "North", "South", "East", "West")</calculatedColumnFormula>
    </tableColumn>
    <tableColumn id="4" xr3:uid="{311A55C3-8F6D-45BB-A9D4-8C3D71B86140}" name="Category"/>
    <tableColumn id="5" xr3:uid="{8A7EE227-0DAE-4F74-85E8-4B2B47478050}" name="Product"/>
    <tableColumn id="6" xr3:uid="{2096DFA3-EBFE-4325-AB48-59B8D6925FB8}" name="Quantity">
      <calculatedColumnFormula>RANDBETWEEN(1,10)</calculatedColumnFormula>
    </tableColumn>
    <tableColumn id="7" xr3:uid="{B22E40C9-C696-4A26-B7CF-123FA1CEFB62}" name="UnitPrice">
      <calculatedColumnFormula>ROUND(RANDBETWEEN(999,99999)/100,2)</calculatedColumnFormula>
    </tableColumn>
    <tableColumn id="8" xr3:uid="{1EED8BD6-B7A7-4E41-8F62-F615A684BF10}" name="Revenue" dataDxfId="0">
      <calculatedColumnFormula>Table3[[#This Row],[UnitPrice]]*Table3[[#This Row],[Quantity]]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7CFAF40-A485-431F-8AED-778C2C1BCA86}" name="Table4" displayName="Table4" ref="A1:H151" totalsRowShown="0" headerRowDxfId="4">
  <autoFilter ref="A1:H151" xr:uid="{3CF89BBA-CEAF-494D-862B-FCD8B3D5923A}"/>
  <tableColumns count="8">
    <tableColumn id="1" xr3:uid="{3146D7ED-1668-41AA-BC04-66D83EB4295E}" name="OrderID" dataDxfId="6"/>
    <tableColumn id="2" xr3:uid="{33A34F3E-6400-4992-A836-74A78DA5479C}" name="OrderDate" dataDxfId="5"/>
    <tableColumn id="3" xr3:uid="{84F1805B-9A45-4A07-92B7-CA249AA61876}" name="Region"/>
    <tableColumn id="4" xr3:uid="{EC31C17E-849A-41D6-B987-04B55C8049DF}" name="Category"/>
    <tableColumn id="5" xr3:uid="{0D96D504-C663-4A91-8A2C-C4880E09E0C8}" name="Product"/>
    <tableColumn id="6" xr3:uid="{E3F392E4-B94F-4942-AA3F-4E61C85930FE}" name="Quantity"/>
    <tableColumn id="7" xr3:uid="{416F47C4-B52C-40E4-B6D6-9AC4BA5B2194}" name="UnitPrice"/>
    <tableColumn id="8" xr3:uid="{6735D80D-A8EC-4FA5-941A-2F27C8B7DA3B}" name="Revenue" dataDxfId="3">
      <calculatedColumnFormula>Table4[[#This Row],[UnitPrice]]*Table4[[#This Row],[Quantity]]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D09ED-C113-4881-AC9E-6FF2745B625F}">
  <dimension ref="A1:J151"/>
  <sheetViews>
    <sheetView workbookViewId="0">
      <selection activeCell="J1" sqref="J1"/>
    </sheetView>
  </sheetViews>
  <sheetFormatPr defaultRowHeight="15"/>
  <cols>
    <col min="1" max="1" width="10.140625" customWidth="1"/>
    <col min="2" max="2" width="18.28515625" bestFit="1" customWidth="1"/>
    <col min="3" max="3" width="9.28515625" customWidth="1"/>
    <col min="4" max="4" width="11" customWidth="1"/>
    <col min="5" max="5" width="10" customWidth="1"/>
    <col min="6" max="6" width="10.85546875" customWidth="1"/>
    <col min="7" max="7" width="11.42578125" customWidth="1"/>
    <col min="8" max="8" width="11" customWidth="1"/>
    <col min="10" max="10" width="31.140625" bestFit="1" customWidth="1"/>
  </cols>
  <sheetData>
    <row r="1" spans="1:10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27</v>
      </c>
      <c r="J1" s="6" t="s">
        <v>28</v>
      </c>
    </row>
    <row r="2" spans="1:10">
      <c r="A2">
        <v>1001</v>
      </c>
      <c r="B2" s="5">
        <v>45029</v>
      </c>
      <c r="C2" t="s">
        <v>16</v>
      </c>
      <c r="D2" t="s">
        <v>17</v>
      </c>
      <c r="E2" t="s">
        <v>22</v>
      </c>
      <c r="F2">
        <v>6</v>
      </c>
      <c r="G2">
        <v>29.99</v>
      </c>
      <c r="H2">
        <v>179.94</v>
      </c>
    </row>
    <row r="3" spans="1:10">
      <c r="A3">
        <v>1002</v>
      </c>
      <c r="B3" s="5">
        <v>45275</v>
      </c>
      <c r="C3" t="s">
        <v>7</v>
      </c>
      <c r="D3" t="s">
        <v>8</v>
      </c>
      <c r="E3" t="s">
        <v>23</v>
      </c>
      <c r="F3">
        <v>10</v>
      </c>
      <c r="G3">
        <v>499</v>
      </c>
      <c r="H3">
        <v>4990</v>
      </c>
    </row>
    <row r="4" spans="1:10">
      <c r="A4">
        <v>1003</v>
      </c>
      <c r="B4" s="5">
        <v>45197</v>
      </c>
      <c r="C4" t="s">
        <v>16</v>
      </c>
      <c r="D4" t="s">
        <v>14</v>
      </c>
      <c r="E4" t="s">
        <v>15</v>
      </c>
      <c r="F4">
        <v>10</v>
      </c>
      <c r="G4">
        <v>599</v>
      </c>
      <c r="H4">
        <v>5990</v>
      </c>
    </row>
    <row r="5" spans="1:10">
      <c r="A5">
        <v>1004</v>
      </c>
      <c r="B5" s="5">
        <v>45033</v>
      </c>
      <c r="C5" t="s">
        <v>13</v>
      </c>
      <c r="D5" t="s">
        <v>17</v>
      </c>
      <c r="E5" t="s">
        <v>26</v>
      </c>
      <c r="F5">
        <v>6</v>
      </c>
      <c r="G5">
        <v>34.99</v>
      </c>
      <c r="H5">
        <v>209.94</v>
      </c>
    </row>
    <row r="6" spans="1:10">
      <c r="A6">
        <v>1005</v>
      </c>
      <c r="B6" s="5">
        <v>44998</v>
      </c>
      <c r="C6" t="s">
        <v>13</v>
      </c>
      <c r="D6" t="s">
        <v>17</v>
      </c>
      <c r="E6" t="s">
        <v>22</v>
      </c>
      <c r="F6">
        <v>1</v>
      </c>
      <c r="G6">
        <v>29.99</v>
      </c>
      <c r="H6">
        <v>29.99</v>
      </c>
    </row>
    <row r="7" spans="1:10">
      <c r="A7">
        <v>1006</v>
      </c>
      <c r="B7" s="5">
        <v>45115</v>
      </c>
      <c r="C7" t="s">
        <v>13</v>
      </c>
      <c r="D7" t="s">
        <v>14</v>
      </c>
      <c r="E7" t="s">
        <v>25</v>
      </c>
      <c r="F7">
        <v>4</v>
      </c>
      <c r="G7">
        <v>149.99</v>
      </c>
      <c r="H7">
        <v>599.96</v>
      </c>
    </row>
    <row r="8" spans="1:10">
      <c r="A8">
        <v>1007</v>
      </c>
      <c r="B8" s="5">
        <v>44947</v>
      </c>
      <c r="C8" t="s">
        <v>10</v>
      </c>
      <c r="D8" t="s">
        <v>11</v>
      </c>
      <c r="E8" t="s">
        <v>12</v>
      </c>
      <c r="F8">
        <v>10</v>
      </c>
      <c r="G8">
        <v>29.99</v>
      </c>
      <c r="H8">
        <v>299.89999999999998</v>
      </c>
    </row>
    <row r="9" spans="1:10">
      <c r="A9">
        <v>1008</v>
      </c>
      <c r="B9" s="5">
        <v>45029</v>
      </c>
      <c r="C9" t="s">
        <v>16</v>
      </c>
      <c r="D9" t="s">
        <v>17</v>
      </c>
      <c r="E9" t="s">
        <v>26</v>
      </c>
      <c r="F9">
        <v>6</v>
      </c>
      <c r="G9">
        <v>34.99</v>
      </c>
      <c r="H9">
        <v>209.94</v>
      </c>
    </row>
    <row r="10" spans="1:10">
      <c r="A10">
        <v>1009</v>
      </c>
      <c r="B10" s="5">
        <v>45048</v>
      </c>
      <c r="C10" t="s">
        <v>10</v>
      </c>
      <c r="D10" t="s">
        <v>8</v>
      </c>
      <c r="E10" t="s">
        <v>9</v>
      </c>
      <c r="F10">
        <v>6</v>
      </c>
      <c r="G10">
        <v>899</v>
      </c>
      <c r="H10">
        <v>5394</v>
      </c>
    </row>
    <row r="11" spans="1:10">
      <c r="A11">
        <v>1010</v>
      </c>
      <c r="B11" s="5">
        <v>45141</v>
      </c>
      <c r="C11" t="s">
        <v>10</v>
      </c>
      <c r="D11" t="s">
        <v>8</v>
      </c>
      <c r="E11" t="s">
        <v>19</v>
      </c>
      <c r="F11">
        <v>5</v>
      </c>
      <c r="G11">
        <v>699</v>
      </c>
      <c r="H11">
        <v>3495</v>
      </c>
    </row>
    <row r="12" spans="1:10">
      <c r="A12">
        <v>1011</v>
      </c>
      <c r="B12" s="5">
        <v>45257</v>
      </c>
      <c r="C12" t="s">
        <v>7</v>
      </c>
      <c r="D12" t="s">
        <v>8</v>
      </c>
      <c r="E12" t="s">
        <v>9</v>
      </c>
      <c r="F12">
        <v>1</v>
      </c>
      <c r="G12">
        <v>899</v>
      </c>
      <c r="H12">
        <v>899</v>
      </c>
    </row>
    <row r="13" spans="1:10">
      <c r="A13">
        <v>1012</v>
      </c>
      <c r="B13" s="5">
        <v>45014</v>
      </c>
      <c r="C13" t="s">
        <v>10</v>
      </c>
      <c r="D13" t="s">
        <v>17</v>
      </c>
      <c r="E13" t="s">
        <v>26</v>
      </c>
      <c r="F13">
        <v>8</v>
      </c>
      <c r="G13">
        <v>34.99</v>
      </c>
      <c r="H13">
        <v>279.92</v>
      </c>
    </row>
    <row r="14" spans="1:10">
      <c r="A14">
        <v>1013</v>
      </c>
      <c r="B14" s="5">
        <v>45026</v>
      </c>
      <c r="C14" t="s">
        <v>7</v>
      </c>
      <c r="D14" t="s">
        <v>11</v>
      </c>
      <c r="E14" t="s">
        <v>20</v>
      </c>
      <c r="F14">
        <v>5</v>
      </c>
      <c r="G14">
        <v>59.99</v>
      </c>
      <c r="H14">
        <v>299.95</v>
      </c>
    </row>
    <row r="15" spans="1:10">
      <c r="A15">
        <v>1014</v>
      </c>
      <c r="B15" s="5">
        <v>45286</v>
      </c>
      <c r="C15" t="s">
        <v>7</v>
      </c>
      <c r="D15" t="s">
        <v>11</v>
      </c>
      <c r="E15" t="s">
        <v>20</v>
      </c>
      <c r="F15">
        <v>5</v>
      </c>
      <c r="G15">
        <v>59.99</v>
      </c>
      <c r="H15">
        <v>299.95</v>
      </c>
    </row>
    <row r="16" spans="1:10">
      <c r="A16">
        <v>1015</v>
      </c>
      <c r="B16" s="5">
        <v>45078</v>
      </c>
      <c r="C16" t="s">
        <v>10</v>
      </c>
      <c r="D16" t="s">
        <v>17</v>
      </c>
      <c r="E16" t="s">
        <v>18</v>
      </c>
      <c r="F16">
        <v>7</v>
      </c>
      <c r="G16">
        <v>89.99</v>
      </c>
      <c r="H16">
        <v>629.92999999999995</v>
      </c>
    </row>
    <row r="17" spans="1:8">
      <c r="A17">
        <v>1016</v>
      </c>
      <c r="B17" s="5">
        <v>45057</v>
      </c>
      <c r="C17" t="s">
        <v>16</v>
      </c>
      <c r="D17" t="s">
        <v>14</v>
      </c>
      <c r="E17" t="s">
        <v>15</v>
      </c>
      <c r="F17">
        <v>4</v>
      </c>
      <c r="G17">
        <v>599</v>
      </c>
      <c r="H17">
        <v>2396</v>
      </c>
    </row>
    <row r="18" spans="1:8">
      <c r="A18">
        <v>1017</v>
      </c>
      <c r="B18" s="5">
        <v>45076</v>
      </c>
      <c r="C18" t="s">
        <v>16</v>
      </c>
      <c r="D18" t="s">
        <v>14</v>
      </c>
      <c r="E18" t="s">
        <v>25</v>
      </c>
      <c r="F18">
        <v>6</v>
      </c>
      <c r="G18">
        <v>149.99</v>
      </c>
      <c r="H18">
        <v>899.94</v>
      </c>
    </row>
    <row r="19" spans="1:8">
      <c r="A19">
        <v>1018</v>
      </c>
      <c r="B19" s="5">
        <v>45235</v>
      </c>
      <c r="C19" t="s">
        <v>16</v>
      </c>
      <c r="D19" t="s">
        <v>14</v>
      </c>
      <c r="E19" t="s">
        <v>25</v>
      </c>
      <c r="F19">
        <v>4</v>
      </c>
      <c r="G19">
        <v>149.99</v>
      </c>
      <c r="H19">
        <v>599.96</v>
      </c>
    </row>
    <row r="20" spans="1:8">
      <c r="A20">
        <v>1019</v>
      </c>
      <c r="B20" s="5">
        <v>45184</v>
      </c>
      <c r="C20" t="s">
        <v>16</v>
      </c>
      <c r="D20" t="s">
        <v>8</v>
      </c>
      <c r="E20" t="s">
        <v>23</v>
      </c>
      <c r="F20">
        <v>3</v>
      </c>
      <c r="G20">
        <v>499</v>
      </c>
      <c r="H20">
        <v>1497</v>
      </c>
    </row>
    <row r="21" spans="1:8">
      <c r="A21">
        <v>1020</v>
      </c>
      <c r="B21" s="5">
        <v>45270</v>
      </c>
      <c r="C21" t="s">
        <v>16</v>
      </c>
      <c r="D21" t="s">
        <v>8</v>
      </c>
      <c r="E21" t="s">
        <v>23</v>
      </c>
      <c r="F21">
        <v>7</v>
      </c>
      <c r="G21">
        <v>499</v>
      </c>
      <c r="H21">
        <v>3493</v>
      </c>
    </row>
    <row r="22" spans="1:8">
      <c r="A22">
        <v>1021</v>
      </c>
      <c r="B22" s="5">
        <v>45220</v>
      </c>
      <c r="C22" t="s">
        <v>10</v>
      </c>
      <c r="D22" t="s">
        <v>8</v>
      </c>
      <c r="E22" t="s">
        <v>23</v>
      </c>
      <c r="F22">
        <v>8</v>
      </c>
      <c r="G22">
        <v>499</v>
      </c>
      <c r="H22">
        <v>3992</v>
      </c>
    </row>
    <row r="23" spans="1:8">
      <c r="A23">
        <v>1022</v>
      </c>
      <c r="B23" s="5">
        <v>45118</v>
      </c>
      <c r="C23" t="s">
        <v>10</v>
      </c>
      <c r="D23" t="s">
        <v>11</v>
      </c>
      <c r="E23" t="s">
        <v>12</v>
      </c>
      <c r="F23">
        <v>4</v>
      </c>
      <c r="G23">
        <v>29.99</v>
      </c>
      <c r="H23">
        <v>119.96</v>
      </c>
    </row>
    <row r="24" spans="1:8">
      <c r="A24">
        <v>1023</v>
      </c>
      <c r="B24" s="5">
        <v>45203</v>
      </c>
      <c r="C24" t="s">
        <v>13</v>
      </c>
      <c r="D24" t="s">
        <v>14</v>
      </c>
      <c r="E24" t="s">
        <v>21</v>
      </c>
      <c r="F24">
        <v>2</v>
      </c>
      <c r="G24">
        <v>79.989999999999995</v>
      </c>
      <c r="H24">
        <v>159.97999999999999</v>
      </c>
    </row>
    <row r="25" spans="1:8">
      <c r="A25">
        <v>1024</v>
      </c>
      <c r="B25" s="5">
        <v>45087</v>
      </c>
      <c r="C25" t="s">
        <v>16</v>
      </c>
      <c r="D25" t="s">
        <v>11</v>
      </c>
      <c r="E25" t="s">
        <v>24</v>
      </c>
      <c r="F25">
        <v>10</v>
      </c>
      <c r="G25">
        <v>89.99</v>
      </c>
      <c r="H25">
        <v>899.9</v>
      </c>
    </row>
    <row r="26" spans="1:8">
      <c r="A26">
        <v>1025</v>
      </c>
      <c r="B26" s="5">
        <v>45240</v>
      </c>
      <c r="C26" t="s">
        <v>10</v>
      </c>
      <c r="D26" t="s">
        <v>14</v>
      </c>
      <c r="E26" t="s">
        <v>21</v>
      </c>
      <c r="F26">
        <v>3</v>
      </c>
      <c r="G26">
        <v>79.989999999999995</v>
      </c>
      <c r="H26">
        <v>239.97</v>
      </c>
    </row>
    <row r="27" spans="1:8">
      <c r="A27">
        <v>1026</v>
      </c>
      <c r="B27" s="5">
        <v>44948</v>
      </c>
      <c r="C27" t="s">
        <v>13</v>
      </c>
      <c r="D27" t="s">
        <v>8</v>
      </c>
      <c r="E27" t="s">
        <v>9</v>
      </c>
      <c r="F27">
        <v>1</v>
      </c>
      <c r="G27">
        <v>899</v>
      </c>
      <c r="H27">
        <v>899</v>
      </c>
    </row>
    <row r="28" spans="1:8">
      <c r="A28">
        <v>1027</v>
      </c>
      <c r="B28" s="5">
        <v>45179</v>
      </c>
      <c r="C28" t="s">
        <v>16</v>
      </c>
      <c r="D28" t="s">
        <v>14</v>
      </c>
      <c r="E28" t="s">
        <v>21</v>
      </c>
      <c r="F28">
        <v>8</v>
      </c>
      <c r="G28">
        <v>79.989999999999995</v>
      </c>
      <c r="H28">
        <v>639.91999999999996</v>
      </c>
    </row>
    <row r="29" spans="1:8">
      <c r="A29">
        <v>1028</v>
      </c>
      <c r="B29" s="5">
        <v>45162</v>
      </c>
      <c r="C29" t="s">
        <v>7</v>
      </c>
      <c r="D29" t="s">
        <v>11</v>
      </c>
      <c r="E29" t="s">
        <v>12</v>
      </c>
      <c r="F29">
        <v>3</v>
      </c>
      <c r="G29">
        <v>29.99</v>
      </c>
      <c r="H29">
        <v>89.97</v>
      </c>
    </row>
    <row r="30" spans="1:8">
      <c r="A30">
        <v>1029</v>
      </c>
      <c r="B30" s="5">
        <v>45271</v>
      </c>
      <c r="C30" t="s">
        <v>13</v>
      </c>
      <c r="D30" t="s">
        <v>17</v>
      </c>
      <c r="E30" t="s">
        <v>18</v>
      </c>
      <c r="F30">
        <v>10</v>
      </c>
      <c r="G30">
        <v>89.99</v>
      </c>
      <c r="H30">
        <v>899.9</v>
      </c>
    </row>
    <row r="31" spans="1:8">
      <c r="A31">
        <v>1030</v>
      </c>
      <c r="B31" s="5">
        <v>44975</v>
      </c>
      <c r="C31" t="s">
        <v>10</v>
      </c>
      <c r="D31" t="s">
        <v>8</v>
      </c>
      <c r="E31" t="s">
        <v>9</v>
      </c>
      <c r="F31">
        <v>7</v>
      </c>
      <c r="G31">
        <v>899</v>
      </c>
      <c r="H31">
        <v>6293</v>
      </c>
    </row>
    <row r="32" spans="1:8">
      <c r="A32">
        <v>1031</v>
      </c>
      <c r="B32" s="5">
        <v>44985</v>
      </c>
      <c r="C32" t="s">
        <v>7</v>
      </c>
      <c r="D32" t="s">
        <v>14</v>
      </c>
      <c r="E32" t="s">
        <v>21</v>
      </c>
      <c r="F32">
        <v>10</v>
      </c>
      <c r="G32">
        <v>79.989999999999995</v>
      </c>
      <c r="H32">
        <v>799.9</v>
      </c>
    </row>
    <row r="33" spans="1:8">
      <c r="A33">
        <v>1032</v>
      </c>
      <c r="B33" s="5">
        <v>45096</v>
      </c>
      <c r="C33" t="s">
        <v>7</v>
      </c>
      <c r="D33" t="s">
        <v>11</v>
      </c>
      <c r="E33" t="s">
        <v>12</v>
      </c>
      <c r="F33">
        <v>5</v>
      </c>
      <c r="G33">
        <v>29.99</v>
      </c>
      <c r="H33">
        <v>149.94999999999999</v>
      </c>
    </row>
    <row r="34" spans="1:8">
      <c r="A34">
        <v>1033</v>
      </c>
      <c r="B34" s="5">
        <v>45114</v>
      </c>
      <c r="C34" t="s">
        <v>7</v>
      </c>
      <c r="D34" t="s">
        <v>11</v>
      </c>
      <c r="E34" t="s">
        <v>24</v>
      </c>
      <c r="F34">
        <v>10</v>
      </c>
      <c r="G34">
        <v>89.99</v>
      </c>
      <c r="H34">
        <v>899.9</v>
      </c>
    </row>
    <row r="35" spans="1:8">
      <c r="A35">
        <v>1034</v>
      </c>
      <c r="B35" s="5">
        <v>45197</v>
      </c>
      <c r="C35" t="s">
        <v>13</v>
      </c>
      <c r="D35" t="s">
        <v>14</v>
      </c>
      <c r="E35" t="s">
        <v>21</v>
      </c>
      <c r="F35">
        <v>5</v>
      </c>
      <c r="G35">
        <v>79.989999999999995</v>
      </c>
      <c r="H35">
        <v>399.95</v>
      </c>
    </row>
    <row r="36" spans="1:8">
      <c r="A36">
        <v>1035</v>
      </c>
      <c r="B36" s="5">
        <v>45116</v>
      </c>
      <c r="C36" t="s">
        <v>10</v>
      </c>
      <c r="D36" t="s">
        <v>11</v>
      </c>
      <c r="E36" t="s">
        <v>12</v>
      </c>
      <c r="F36">
        <v>7</v>
      </c>
      <c r="G36">
        <v>29.99</v>
      </c>
      <c r="H36">
        <v>209.93</v>
      </c>
    </row>
    <row r="37" spans="1:8">
      <c r="A37">
        <v>1036</v>
      </c>
      <c r="B37" s="5">
        <v>45101</v>
      </c>
      <c r="C37" t="s">
        <v>7</v>
      </c>
      <c r="D37" t="s">
        <v>8</v>
      </c>
      <c r="E37" t="s">
        <v>23</v>
      </c>
      <c r="F37">
        <v>9</v>
      </c>
      <c r="G37">
        <v>499</v>
      </c>
      <c r="H37">
        <v>4491</v>
      </c>
    </row>
    <row r="38" spans="1:8">
      <c r="A38">
        <v>1037</v>
      </c>
      <c r="B38" s="5">
        <v>44977</v>
      </c>
      <c r="C38" t="s">
        <v>16</v>
      </c>
      <c r="D38" t="s">
        <v>14</v>
      </c>
      <c r="E38" t="s">
        <v>25</v>
      </c>
      <c r="F38">
        <v>5</v>
      </c>
      <c r="G38">
        <v>149.99</v>
      </c>
      <c r="H38">
        <v>749.95</v>
      </c>
    </row>
    <row r="39" spans="1:8">
      <c r="A39">
        <v>1038</v>
      </c>
      <c r="B39" s="5">
        <v>45290</v>
      </c>
      <c r="C39" t="s">
        <v>7</v>
      </c>
      <c r="D39" t="s">
        <v>8</v>
      </c>
      <c r="E39" t="s">
        <v>23</v>
      </c>
      <c r="F39">
        <v>1</v>
      </c>
      <c r="G39">
        <v>499</v>
      </c>
      <c r="H39">
        <v>499</v>
      </c>
    </row>
    <row r="40" spans="1:8">
      <c r="A40">
        <v>1039</v>
      </c>
      <c r="B40" s="5">
        <v>44981</v>
      </c>
      <c r="C40" t="s">
        <v>7</v>
      </c>
      <c r="D40" t="s">
        <v>14</v>
      </c>
      <c r="E40" t="s">
        <v>25</v>
      </c>
      <c r="F40">
        <v>10</v>
      </c>
      <c r="G40">
        <v>149.99</v>
      </c>
      <c r="H40">
        <v>1499.9</v>
      </c>
    </row>
    <row r="41" spans="1:8">
      <c r="A41">
        <v>1040</v>
      </c>
      <c r="B41" s="5">
        <v>45170</v>
      </c>
      <c r="C41" t="s">
        <v>13</v>
      </c>
      <c r="D41" t="s">
        <v>8</v>
      </c>
      <c r="E41" t="s">
        <v>19</v>
      </c>
      <c r="F41">
        <v>10</v>
      </c>
      <c r="G41">
        <v>699</v>
      </c>
      <c r="H41">
        <v>6990</v>
      </c>
    </row>
    <row r="42" spans="1:8">
      <c r="A42">
        <v>1041</v>
      </c>
      <c r="B42" s="5">
        <v>45246</v>
      </c>
      <c r="C42" t="s">
        <v>13</v>
      </c>
      <c r="D42" t="s">
        <v>8</v>
      </c>
      <c r="E42" t="s">
        <v>19</v>
      </c>
      <c r="F42">
        <v>1</v>
      </c>
      <c r="G42">
        <v>699</v>
      </c>
      <c r="H42">
        <v>699</v>
      </c>
    </row>
    <row r="43" spans="1:8">
      <c r="A43">
        <v>1042</v>
      </c>
      <c r="B43" s="5">
        <v>45057</v>
      </c>
      <c r="C43" t="s">
        <v>10</v>
      </c>
      <c r="D43" t="s">
        <v>8</v>
      </c>
      <c r="E43" t="s">
        <v>19</v>
      </c>
      <c r="F43">
        <v>2</v>
      </c>
      <c r="G43">
        <v>699</v>
      </c>
      <c r="H43">
        <v>1398</v>
      </c>
    </row>
    <row r="44" spans="1:8">
      <c r="A44">
        <v>1043</v>
      </c>
      <c r="B44" s="5">
        <v>45233</v>
      </c>
      <c r="C44" t="s">
        <v>16</v>
      </c>
      <c r="D44" t="s">
        <v>11</v>
      </c>
      <c r="E44" t="s">
        <v>24</v>
      </c>
      <c r="F44">
        <v>6</v>
      </c>
      <c r="G44">
        <v>89.99</v>
      </c>
      <c r="H44">
        <v>539.93999999999994</v>
      </c>
    </row>
    <row r="45" spans="1:8">
      <c r="A45">
        <v>1044</v>
      </c>
      <c r="B45" s="5">
        <v>45061</v>
      </c>
      <c r="C45" t="s">
        <v>13</v>
      </c>
      <c r="D45" t="s">
        <v>8</v>
      </c>
      <c r="E45" t="s">
        <v>23</v>
      </c>
      <c r="F45">
        <v>9</v>
      </c>
      <c r="G45">
        <v>499</v>
      </c>
      <c r="H45">
        <v>4491</v>
      </c>
    </row>
    <row r="46" spans="1:8">
      <c r="A46">
        <v>1045</v>
      </c>
      <c r="B46" s="5">
        <v>44947</v>
      </c>
      <c r="C46" t="s">
        <v>7</v>
      </c>
      <c r="D46" t="s">
        <v>14</v>
      </c>
      <c r="E46" t="s">
        <v>25</v>
      </c>
      <c r="F46">
        <v>8</v>
      </c>
      <c r="G46">
        <v>149.99</v>
      </c>
      <c r="H46">
        <v>1199.92</v>
      </c>
    </row>
    <row r="47" spans="1:8">
      <c r="A47">
        <v>1046</v>
      </c>
      <c r="B47" s="5">
        <v>45255</v>
      </c>
      <c r="C47" t="s">
        <v>10</v>
      </c>
      <c r="D47" t="s">
        <v>11</v>
      </c>
      <c r="E47" t="s">
        <v>12</v>
      </c>
      <c r="F47">
        <v>5</v>
      </c>
      <c r="G47">
        <v>29.99</v>
      </c>
      <c r="H47">
        <v>149.94999999999999</v>
      </c>
    </row>
    <row r="48" spans="1:8">
      <c r="A48">
        <v>1047</v>
      </c>
      <c r="B48" s="5">
        <v>45093</v>
      </c>
      <c r="C48" t="s">
        <v>7</v>
      </c>
      <c r="D48" t="s">
        <v>8</v>
      </c>
      <c r="E48" t="s">
        <v>9</v>
      </c>
      <c r="F48">
        <v>1</v>
      </c>
      <c r="G48">
        <v>899</v>
      </c>
      <c r="H48">
        <v>899</v>
      </c>
    </row>
    <row r="49" spans="1:8">
      <c r="A49">
        <v>1048</v>
      </c>
      <c r="B49" s="5">
        <v>45200</v>
      </c>
      <c r="C49" t="s">
        <v>7</v>
      </c>
      <c r="D49" t="s">
        <v>11</v>
      </c>
      <c r="E49" t="s">
        <v>12</v>
      </c>
      <c r="F49">
        <v>7</v>
      </c>
      <c r="G49">
        <v>29.99</v>
      </c>
      <c r="H49">
        <v>209.93</v>
      </c>
    </row>
    <row r="50" spans="1:8">
      <c r="A50">
        <v>1049</v>
      </c>
      <c r="B50" s="5">
        <v>45015</v>
      </c>
      <c r="C50" t="s">
        <v>13</v>
      </c>
      <c r="D50" t="s">
        <v>8</v>
      </c>
      <c r="E50" t="s">
        <v>9</v>
      </c>
      <c r="F50">
        <v>5</v>
      </c>
      <c r="G50">
        <v>899</v>
      </c>
      <c r="H50">
        <v>4495</v>
      </c>
    </row>
    <row r="51" spans="1:8">
      <c r="A51">
        <v>1050</v>
      </c>
      <c r="B51" s="5">
        <v>45242</v>
      </c>
      <c r="C51" t="s">
        <v>10</v>
      </c>
      <c r="D51" t="s">
        <v>11</v>
      </c>
      <c r="E51" t="s">
        <v>20</v>
      </c>
      <c r="F51">
        <v>6</v>
      </c>
      <c r="G51">
        <v>59.99</v>
      </c>
      <c r="H51">
        <v>359.94</v>
      </c>
    </row>
    <row r="52" spans="1:8">
      <c r="A52">
        <v>1051</v>
      </c>
      <c r="B52" s="5">
        <v>44940</v>
      </c>
      <c r="C52" t="s">
        <v>16</v>
      </c>
      <c r="D52" t="s">
        <v>11</v>
      </c>
      <c r="E52" t="s">
        <v>12</v>
      </c>
      <c r="F52">
        <v>7</v>
      </c>
      <c r="G52">
        <v>29.99</v>
      </c>
      <c r="H52">
        <v>209.93</v>
      </c>
    </row>
    <row r="53" spans="1:8">
      <c r="A53">
        <v>1052</v>
      </c>
      <c r="B53" s="5">
        <v>45168</v>
      </c>
      <c r="C53" t="s">
        <v>16</v>
      </c>
      <c r="D53" t="s">
        <v>14</v>
      </c>
      <c r="E53" t="s">
        <v>21</v>
      </c>
      <c r="F53">
        <v>3</v>
      </c>
      <c r="G53">
        <v>79.989999999999995</v>
      </c>
      <c r="H53">
        <v>239.97</v>
      </c>
    </row>
    <row r="54" spans="1:8">
      <c r="A54">
        <v>1053</v>
      </c>
      <c r="B54" s="5">
        <v>45191</v>
      </c>
      <c r="C54" t="s">
        <v>13</v>
      </c>
      <c r="D54" t="s">
        <v>14</v>
      </c>
      <c r="E54" t="s">
        <v>21</v>
      </c>
      <c r="F54">
        <v>10</v>
      </c>
      <c r="G54">
        <v>79.989999999999995</v>
      </c>
      <c r="H54">
        <v>799.9</v>
      </c>
    </row>
    <row r="55" spans="1:8">
      <c r="A55">
        <v>1054</v>
      </c>
      <c r="B55" s="5">
        <v>45272</v>
      </c>
      <c r="C55" t="s">
        <v>13</v>
      </c>
      <c r="D55" t="s">
        <v>14</v>
      </c>
      <c r="E55" t="s">
        <v>15</v>
      </c>
      <c r="F55">
        <v>3</v>
      </c>
      <c r="G55">
        <v>599</v>
      </c>
      <c r="H55">
        <v>1797</v>
      </c>
    </row>
    <row r="56" spans="1:8">
      <c r="A56">
        <v>1055</v>
      </c>
      <c r="B56" s="5">
        <v>44979</v>
      </c>
      <c r="C56" t="s">
        <v>10</v>
      </c>
      <c r="D56" t="s">
        <v>8</v>
      </c>
      <c r="E56" t="s">
        <v>23</v>
      </c>
      <c r="F56">
        <v>5</v>
      </c>
      <c r="G56">
        <v>499</v>
      </c>
      <c r="H56">
        <v>2495</v>
      </c>
    </row>
    <row r="57" spans="1:8">
      <c r="A57">
        <v>1056</v>
      </c>
      <c r="B57" s="5">
        <v>45266</v>
      </c>
      <c r="C57" t="s">
        <v>16</v>
      </c>
      <c r="D57" t="s">
        <v>8</v>
      </c>
      <c r="E57" t="s">
        <v>9</v>
      </c>
      <c r="F57">
        <v>6</v>
      </c>
      <c r="G57">
        <v>899</v>
      </c>
      <c r="H57">
        <v>5394</v>
      </c>
    </row>
    <row r="58" spans="1:8">
      <c r="A58">
        <v>1057</v>
      </c>
      <c r="B58" s="5">
        <v>45018</v>
      </c>
      <c r="C58" t="s">
        <v>16</v>
      </c>
      <c r="D58" t="s">
        <v>8</v>
      </c>
      <c r="E58" t="s">
        <v>9</v>
      </c>
      <c r="F58">
        <v>9</v>
      </c>
      <c r="G58">
        <v>899</v>
      </c>
      <c r="H58">
        <v>8091</v>
      </c>
    </row>
    <row r="59" spans="1:8">
      <c r="A59">
        <v>1058</v>
      </c>
      <c r="B59" s="5">
        <v>45190</v>
      </c>
      <c r="C59" t="s">
        <v>16</v>
      </c>
      <c r="D59" t="s">
        <v>17</v>
      </c>
      <c r="E59" t="s">
        <v>26</v>
      </c>
      <c r="F59">
        <v>5</v>
      </c>
      <c r="G59">
        <v>34.99</v>
      </c>
      <c r="H59">
        <v>174.95</v>
      </c>
    </row>
    <row r="60" spans="1:8">
      <c r="A60">
        <v>1059</v>
      </c>
      <c r="B60" s="5">
        <v>44961</v>
      </c>
      <c r="C60" t="s">
        <v>7</v>
      </c>
      <c r="D60" t="s">
        <v>17</v>
      </c>
      <c r="E60" t="s">
        <v>18</v>
      </c>
      <c r="F60">
        <v>1</v>
      </c>
      <c r="G60">
        <v>89.99</v>
      </c>
      <c r="H60">
        <v>89.99</v>
      </c>
    </row>
    <row r="61" spans="1:8">
      <c r="A61">
        <v>1060</v>
      </c>
      <c r="B61" s="5">
        <v>45132</v>
      </c>
      <c r="C61" t="s">
        <v>16</v>
      </c>
      <c r="D61" t="s">
        <v>8</v>
      </c>
      <c r="E61" t="s">
        <v>23</v>
      </c>
      <c r="F61">
        <v>4</v>
      </c>
      <c r="G61">
        <v>499</v>
      </c>
      <c r="H61">
        <v>1996</v>
      </c>
    </row>
    <row r="62" spans="1:8">
      <c r="A62">
        <v>1061</v>
      </c>
      <c r="B62" s="5">
        <v>45007</v>
      </c>
      <c r="C62" t="s">
        <v>7</v>
      </c>
      <c r="D62" t="s">
        <v>11</v>
      </c>
      <c r="E62" t="s">
        <v>24</v>
      </c>
      <c r="F62">
        <v>5</v>
      </c>
      <c r="G62">
        <v>89.99</v>
      </c>
      <c r="H62">
        <v>449.95</v>
      </c>
    </row>
    <row r="63" spans="1:8">
      <c r="A63">
        <v>1062</v>
      </c>
      <c r="B63" s="5">
        <v>44976</v>
      </c>
      <c r="C63" t="s">
        <v>10</v>
      </c>
      <c r="D63" t="s">
        <v>14</v>
      </c>
      <c r="E63" t="s">
        <v>15</v>
      </c>
      <c r="F63">
        <v>10</v>
      </c>
      <c r="G63">
        <v>599</v>
      </c>
      <c r="H63">
        <v>5990</v>
      </c>
    </row>
    <row r="64" spans="1:8">
      <c r="A64">
        <v>1063</v>
      </c>
      <c r="B64" s="5">
        <v>45286</v>
      </c>
      <c r="C64" t="s">
        <v>7</v>
      </c>
      <c r="D64" t="s">
        <v>11</v>
      </c>
      <c r="E64" t="s">
        <v>24</v>
      </c>
      <c r="F64">
        <v>10</v>
      </c>
      <c r="G64">
        <v>89.99</v>
      </c>
      <c r="H64">
        <v>899.9</v>
      </c>
    </row>
    <row r="65" spans="1:8">
      <c r="A65">
        <v>1064</v>
      </c>
      <c r="B65" s="5">
        <v>44928</v>
      </c>
      <c r="C65" t="s">
        <v>10</v>
      </c>
      <c r="D65" t="s">
        <v>11</v>
      </c>
      <c r="E65" t="s">
        <v>24</v>
      </c>
      <c r="F65">
        <v>5</v>
      </c>
      <c r="G65">
        <v>89.99</v>
      </c>
      <c r="H65">
        <v>449.95</v>
      </c>
    </row>
    <row r="66" spans="1:8">
      <c r="A66">
        <v>1065</v>
      </c>
      <c r="B66" s="5">
        <v>44980</v>
      </c>
      <c r="C66" t="s">
        <v>16</v>
      </c>
      <c r="D66" t="s">
        <v>11</v>
      </c>
      <c r="E66" t="s">
        <v>24</v>
      </c>
      <c r="F66">
        <v>7</v>
      </c>
      <c r="G66">
        <v>89.99</v>
      </c>
      <c r="H66">
        <v>629.92999999999995</v>
      </c>
    </row>
    <row r="67" spans="1:8">
      <c r="A67">
        <v>1066</v>
      </c>
      <c r="B67" s="5">
        <v>45032</v>
      </c>
      <c r="C67" t="s">
        <v>16</v>
      </c>
      <c r="D67" t="s">
        <v>8</v>
      </c>
      <c r="E67" t="s">
        <v>23</v>
      </c>
      <c r="F67">
        <v>4</v>
      </c>
      <c r="G67">
        <v>499</v>
      </c>
      <c r="H67">
        <v>1996</v>
      </c>
    </row>
    <row r="68" spans="1:8">
      <c r="A68">
        <v>1067</v>
      </c>
      <c r="B68" s="5">
        <v>45186</v>
      </c>
      <c r="C68" t="s">
        <v>10</v>
      </c>
      <c r="D68" t="s">
        <v>11</v>
      </c>
      <c r="E68" t="s">
        <v>24</v>
      </c>
      <c r="F68">
        <v>1</v>
      </c>
      <c r="G68">
        <v>89.99</v>
      </c>
      <c r="H68">
        <v>89.99</v>
      </c>
    </row>
    <row r="69" spans="1:8">
      <c r="A69">
        <v>1068</v>
      </c>
      <c r="B69" s="5">
        <v>45236</v>
      </c>
      <c r="C69" t="s">
        <v>13</v>
      </c>
      <c r="D69" t="s">
        <v>14</v>
      </c>
      <c r="E69" t="s">
        <v>21</v>
      </c>
      <c r="F69">
        <v>5</v>
      </c>
      <c r="G69">
        <v>79.989999999999995</v>
      </c>
      <c r="H69">
        <v>399.95</v>
      </c>
    </row>
    <row r="70" spans="1:8">
      <c r="A70">
        <v>1069</v>
      </c>
      <c r="B70" s="5">
        <v>45117</v>
      </c>
      <c r="C70" t="s">
        <v>10</v>
      </c>
      <c r="D70" t="s">
        <v>17</v>
      </c>
      <c r="E70" t="s">
        <v>18</v>
      </c>
      <c r="F70">
        <v>7</v>
      </c>
      <c r="G70">
        <v>89.99</v>
      </c>
      <c r="H70">
        <v>629.92999999999995</v>
      </c>
    </row>
    <row r="71" spans="1:8">
      <c r="A71">
        <v>1070</v>
      </c>
      <c r="B71" s="5">
        <v>45144</v>
      </c>
      <c r="C71" t="s">
        <v>13</v>
      </c>
      <c r="D71" t="s">
        <v>17</v>
      </c>
      <c r="E71" t="s">
        <v>18</v>
      </c>
      <c r="F71">
        <v>10</v>
      </c>
      <c r="G71">
        <v>89.99</v>
      </c>
      <c r="H71">
        <v>899.9</v>
      </c>
    </row>
    <row r="72" spans="1:8">
      <c r="A72">
        <v>1071</v>
      </c>
      <c r="B72" s="5">
        <v>44970</v>
      </c>
      <c r="C72" t="s">
        <v>7</v>
      </c>
      <c r="D72" t="s">
        <v>8</v>
      </c>
      <c r="E72" t="s">
        <v>19</v>
      </c>
      <c r="F72">
        <v>10</v>
      </c>
      <c r="G72">
        <v>699</v>
      </c>
      <c r="H72">
        <v>6990</v>
      </c>
    </row>
    <row r="73" spans="1:8">
      <c r="A73">
        <v>1072</v>
      </c>
      <c r="B73" s="5">
        <v>45088</v>
      </c>
      <c r="C73" t="s">
        <v>7</v>
      </c>
      <c r="D73" t="s">
        <v>11</v>
      </c>
      <c r="E73" t="s">
        <v>20</v>
      </c>
      <c r="F73">
        <v>6</v>
      </c>
      <c r="G73">
        <v>59.99</v>
      </c>
      <c r="H73">
        <v>359.94</v>
      </c>
    </row>
    <row r="74" spans="1:8">
      <c r="A74">
        <v>1073</v>
      </c>
      <c r="B74" s="5">
        <v>45128</v>
      </c>
      <c r="C74" t="s">
        <v>7</v>
      </c>
      <c r="D74" t="s">
        <v>8</v>
      </c>
      <c r="E74" t="s">
        <v>9</v>
      </c>
      <c r="F74">
        <v>5</v>
      </c>
      <c r="G74">
        <v>899</v>
      </c>
      <c r="H74">
        <v>4495</v>
      </c>
    </row>
    <row r="75" spans="1:8">
      <c r="A75">
        <v>1074</v>
      </c>
      <c r="B75" s="5">
        <v>45196</v>
      </c>
      <c r="C75" t="s">
        <v>16</v>
      </c>
      <c r="D75" t="s">
        <v>17</v>
      </c>
      <c r="E75" t="s">
        <v>26</v>
      </c>
      <c r="F75">
        <v>4</v>
      </c>
      <c r="G75">
        <v>34.99</v>
      </c>
      <c r="H75">
        <v>139.96</v>
      </c>
    </row>
    <row r="76" spans="1:8">
      <c r="A76">
        <v>1075</v>
      </c>
      <c r="B76" s="5">
        <v>45277</v>
      </c>
      <c r="C76" t="s">
        <v>7</v>
      </c>
      <c r="D76" t="s">
        <v>8</v>
      </c>
      <c r="E76" t="s">
        <v>9</v>
      </c>
      <c r="F76">
        <v>2</v>
      </c>
      <c r="G76">
        <v>899</v>
      </c>
      <c r="H76">
        <v>1798</v>
      </c>
    </row>
    <row r="77" spans="1:8">
      <c r="A77">
        <v>1076</v>
      </c>
      <c r="B77" s="5">
        <v>45230</v>
      </c>
      <c r="C77" t="s">
        <v>13</v>
      </c>
      <c r="D77" t="s">
        <v>11</v>
      </c>
      <c r="E77" t="s">
        <v>20</v>
      </c>
      <c r="F77">
        <v>4</v>
      </c>
      <c r="G77">
        <v>59.99</v>
      </c>
      <c r="H77">
        <v>239.96</v>
      </c>
    </row>
    <row r="78" spans="1:8">
      <c r="A78">
        <v>1077</v>
      </c>
      <c r="B78" s="5">
        <v>45197</v>
      </c>
      <c r="C78" t="s">
        <v>7</v>
      </c>
      <c r="D78" t="s">
        <v>17</v>
      </c>
      <c r="E78" t="s">
        <v>26</v>
      </c>
      <c r="F78">
        <v>10</v>
      </c>
      <c r="G78">
        <v>34.99</v>
      </c>
      <c r="H78">
        <v>349.9</v>
      </c>
    </row>
    <row r="79" spans="1:8">
      <c r="A79">
        <v>1078</v>
      </c>
      <c r="B79" s="5">
        <v>45141</v>
      </c>
      <c r="C79" t="s">
        <v>10</v>
      </c>
      <c r="D79" t="s">
        <v>8</v>
      </c>
      <c r="E79" t="s">
        <v>23</v>
      </c>
      <c r="F79">
        <v>10</v>
      </c>
      <c r="G79">
        <v>499</v>
      </c>
      <c r="H79">
        <v>4990</v>
      </c>
    </row>
    <row r="80" spans="1:8">
      <c r="A80">
        <v>1079</v>
      </c>
      <c r="B80" s="5">
        <v>45178</v>
      </c>
      <c r="C80" t="s">
        <v>10</v>
      </c>
      <c r="D80" t="s">
        <v>11</v>
      </c>
      <c r="E80" t="s">
        <v>12</v>
      </c>
      <c r="F80">
        <v>3</v>
      </c>
      <c r="G80">
        <v>29.99</v>
      </c>
      <c r="H80">
        <v>89.97</v>
      </c>
    </row>
    <row r="81" spans="1:8">
      <c r="A81">
        <v>1080</v>
      </c>
      <c r="B81" s="5">
        <v>45116</v>
      </c>
      <c r="C81" t="s">
        <v>16</v>
      </c>
      <c r="D81" t="s">
        <v>8</v>
      </c>
      <c r="E81" t="s">
        <v>23</v>
      </c>
      <c r="F81">
        <v>10</v>
      </c>
      <c r="G81">
        <v>499</v>
      </c>
      <c r="H81">
        <v>4990</v>
      </c>
    </row>
    <row r="82" spans="1:8">
      <c r="A82">
        <v>1081</v>
      </c>
      <c r="B82" s="5">
        <v>45222</v>
      </c>
      <c r="C82" t="s">
        <v>10</v>
      </c>
      <c r="D82" t="s">
        <v>8</v>
      </c>
      <c r="E82" t="s">
        <v>9</v>
      </c>
      <c r="F82">
        <v>1</v>
      </c>
      <c r="G82">
        <v>899</v>
      </c>
      <c r="H82">
        <v>899</v>
      </c>
    </row>
    <row r="83" spans="1:8">
      <c r="A83">
        <v>1082</v>
      </c>
      <c r="B83" s="5">
        <v>45139</v>
      </c>
      <c r="C83" t="s">
        <v>13</v>
      </c>
      <c r="D83" t="s">
        <v>8</v>
      </c>
      <c r="E83" t="s">
        <v>9</v>
      </c>
      <c r="F83">
        <v>8</v>
      </c>
      <c r="G83">
        <v>899</v>
      </c>
      <c r="H83">
        <v>7192</v>
      </c>
    </row>
    <row r="84" spans="1:8">
      <c r="A84">
        <v>1083</v>
      </c>
      <c r="B84" s="5">
        <v>45134</v>
      </c>
      <c r="C84" t="s">
        <v>7</v>
      </c>
      <c r="D84" t="s">
        <v>17</v>
      </c>
      <c r="E84" t="s">
        <v>26</v>
      </c>
      <c r="F84">
        <v>5</v>
      </c>
      <c r="G84">
        <v>34.99</v>
      </c>
      <c r="H84">
        <v>174.95</v>
      </c>
    </row>
    <row r="85" spans="1:8">
      <c r="A85">
        <v>1084</v>
      </c>
      <c r="B85" s="5">
        <v>45163</v>
      </c>
      <c r="C85" t="s">
        <v>16</v>
      </c>
      <c r="D85" t="s">
        <v>17</v>
      </c>
      <c r="E85" t="s">
        <v>26</v>
      </c>
      <c r="F85">
        <v>4</v>
      </c>
      <c r="G85">
        <v>34.99</v>
      </c>
      <c r="H85">
        <v>139.96</v>
      </c>
    </row>
    <row r="86" spans="1:8">
      <c r="A86">
        <v>1085</v>
      </c>
      <c r="B86" s="5">
        <v>45264</v>
      </c>
      <c r="C86" t="s">
        <v>7</v>
      </c>
      <c r="D86" t="s">
        <v>11</v>
      </c>
      <c r="E86" t="s">
        <v>20</v>
      </c>
      <c r="F86">
        <v>8</v>
      </c>
      <c r="G86">
        <v>59.99</v>
      </c>
      <c r="H86">
        <v>479.92</v>
      </c>
    </row>
    <row r="87" spans="1:8">
      <c r="A87">
        <v>1086</v>
      </c>
      <c r="B87" s="5">
        <v>44979</v>
      </c>
      <c r="C87" t="s">
        <v>7</v>
      </c>
      <c r="D87" t="s">
        <v>11</v>
      </c>
      <c r="E87" t="s">
        <v>24</v>
      </c>
      <c r="F87">
        <v>7</v>
      </c>
      <c r="G87">
        <v>89.99</v>
      </c>
      <c r="H87">
        <v>629.92999999999995</v>
      </c>
    </row>
    <row r="88" spans="1:8">
      <c r="A88">
        <v>1087</v>
      </c>
      <c r="B88" s="5">
        <v>45206</v>
      </c>
      <c r="C88" t="s">
        <v>13</v>
      </c>
      <c r="D88" t="s">
        <v>8</v>
      </c>
      <c r="E88" t="s">
        <v>23</v>
      </c>
      <c r="F88">
        <v>2</v>
      </c>
      <c r="G88">
        <v>499</v>
      </c>
      <c r="H88">
        <v>998</v>
      </c>
    </row>
    <row r="89" spans="1:8">
      <c r="A89">
        <v>1088</v>
      </c>
      <c r="B89" s="5">
        <v>45143</v>
      </c>
      <c r="C89" t="s">
        <v>10</v>
      </c>
      <c r="D89" t="s">
        <v>17</v>
      </c>
      <c r="E89" t="s">
        <v>26</v>
      </c>
      <c r="F89">
        <v>1</v>
      </c>
      <c r="G89">
        <v>34.99</v>
      </c>
      <c r="H89">
        <v>34.99</v>
      </c>
    </row>
    <row r="90" spans="1:8">
      <c r="A90">
        <v>1089</v>
      </c>
      <c r="B90" s="5">
        <v>45178</v>
      </c>
      <c r="C90" t="s">
        <v>10</v>
      </c>
      <c r="D90" t="s">
        <v>14</v>
      </c>
      <c r="E90" t="s">
        <v>25</v>
      </c>
      <c r="F90">
        <v>4</v>
      </c>
      <c r="G90">
        <v>149.99</v>
      </c>
      <c r="H90">
        <v>599.96</v>
      </c>
    </row>
    <row r="91" spans="1:8">
      <c r="A91">
        <v>1090</v>
      </c>
      <c r="B91" s="5">
        <v>45114</v>
      </c>
      <c r="C91" t="s">
        <v>7</v>
      </c>
      <c r="D91" t="s">
        <v>11</v>
      </c>
      <c r="E91" t="s">
        <v>20</v>
      </c>
      <c r="F91">
        <v>8</v>
      </c>
      <c r="G91">
        <v>59.99</v>
      </c>
      <c r="H91">
        <v>479.92</v>
      </c>
    </row>
    <row r="92" spans="1:8">
      <c r="A92">
        <v>1091</v>
      </c>
      <c r="B92" s="5">
        <v>44967</v>
      </c>
      <c r="C92" t="s">
        <v>16</v>
      </c>
      <c r="D92" t="s">
        <v>14</v>
      </c>
      <c r="E92" t="s">
        <v>21</v>
      </c>
      <c r="F92">
        <v>2</v>
      </c>
      <c r="G92">
        <v>79.989999999999995</v>
      </c>
      <c r="H92">
        <v>159.97999999999999</v>
      </c>
    </row>
    <row r="93" spans="1:8">
      <c r="A93">
        <v>1092</v>
      </c>
      <c r="B93" s="5">
        <v>45083</v>
      </c>
      <c r="C93" t="s">
        <v>10</v>
      </c>
      <c r="D93" t="s">
        <v>8</v>
      </c>
      <c r="E93" t="s">
        <v>9</v>
      </c>
      <c r="F93">
        <v>3</v>
      </c>
      <c r="G93">
        <v>899</v>
      </c>
      <c r="H93">
        <v>2697</v>
      </c>
    </row>
    <row r="94" spans="1:8">
      <c r="A94">
        <v>1093</v>
      </c>
      <c r="B94" s="5">
        <v>44941</v>
      </c>
      <c r="C94" t="s">
        <v>16</v>
      </c>
      <c r="D94" t="s">
        <v>11</v>
      </c>
      <c r="E94" t="s">
        <v>20</v>
      </c>
      <c r="F94">
        <v>1</v>
      </c>
      <c r="G94">
        <v>59.99</v>
      </c>
      <c r="H94">
        <v>59.99</v>
      </c>
    </row>
    <row r="95" spans="1:8">
      <c r="A95">
        <v>1094</v>
      </c>
      <c r="B95" s="5">
        <v>45227</v>
      </c>
      <c r="C95" t="s">
        <v>10</v>
      </c>
      <c r="D95" t="s">
        <v>8</v>
      </c>
      <c r="E95" t="s">
        <v>23</v>
      </c>
      <c r="F95">
        <v>1</v>
      </c>
      <c r="G95">
        <v>499</v>
      </c>
      <c r="H95">
        <v>499</v>
      </c>
    </row>
    <row r="96" spans="1:8">
      <c r="A96">
        <v>1095</v>
      </c>
      <c r="B96" s="5">
        <v>44991</v>
      </c>
      <c r="C96" t="s">
        <v>16</v>
      </c>
      <c r="D96" t="s">
        <v>17</v>
      </c>
      <c r="E96" t="s">
        <v>26</v>
      </c>
      <c r="F96">
        <v>3</v>
      </c>
      <c r="G96">
        <v>34.99</v>
      </c>
      <c r="H96">
        <v>104.97</v>
      </c>
    </row>
    <row r="97" spans="1:8">
      <c r="A97">
        <v>1096</v>
      </c>
      <c r="B97" s="5">
        <v>45271</v>
      </c>
      <c r="C97" t="s">
        <v>13</v>
      </c>
      <c r="D97" t="s">
        <v>8</v>
      </c>
      <c r="E97" t="s">
        <v>9</v>
      </c>
      <c r="F97">
        <v>5</v>
      </c>
      <c r="G97">
        <v>899</v>
      </c>
      <c r="H97">
        <v>4495</v>
      </c>
    </row>
    <row r="98" spans="1:8">
      <c r="A98">
        <v>1097</v>
      </c>
      <c r="B98" s="5">
        <v>45253</v>
      </c>
      <c r="C98" t="s">
        <v>16</v>
      </c>
      <c r="D98" t="s">
        <v>11</v>
      </c>
      <c r="E98" t="s">
        <v>12</v>
      </c>
      <c r="F98">
        <v>3</v>
      </c>
      <c r="G98">
        <v>29.99</v>
      </c>
      <c r="H98">
        <v>89.97</v>
      </c>
    </row>
    <row r="99" spans="1:8">
      <c r="A99">
        <v>1098</v>
      </c>
      <c r="B99" s="5">
        <v>44935</v>
      </c>
      <c r="C99" t="s">
        <v>13</v>
      </c>
      <c r="D99" t="s">
        <v>11</v>
      </c>
      <c r="E99" t="s">
        <v>20</v>
      </c>
      <c r="F99">
        <v>1</v>
      </c>
      <c r="G99">
        <v>59.99</v>
      </c>
      <c r="H99">
        <v>59.99</v>
      </c>
    </row>
    <row r="100" spans="1:8">
      <c r="A100">
        <v>1099</v>
      </c>
      <c r="B100" s="5">
        <v>45270</v>
      </c>
      <c r="C100" t="s">
        <v>13</v>
      </c>
      <c r="D100" t="s">
        <v>14</v>
      </c>
      <c r="E100" t="s">
        <v>15</v>
      </c>
      <c r="F100">
        <v>1</v>
      </c>
      <c r="G100">
        <v>599</v>
      </c>
      <c r="H100">
        <v>599</v>
      </c>
    </row>
    <row r="101" spans="1:8">
      <c r="A101">
        <v>1100</v>
      </c>
      <c r="B101" s="5">
        <v>45055</v>
      </c>
      <c r="C101" t="s">
        <v>16</v>
      </c>
      <c r="D101" t="s">
        <v>8</v>
      </c>
      <c r="E101" t="s">
        <v>9</v>
      </c>
      <c r="F101">
        <v>8</v>
      </c>
      <c r="G101">
        <v>899</v>
      </c>
      <c r="H101">
        <v>7192</v>
      </c>
    </row>
    <row r="102" spans="1:8">
      <c r="A102">
        <v>1101</v>
      </c>
      <c r="B102" s="5">
        <v>45062</v>
      </c>
      <c r="C102" t="s">
        <v>13</v>
      </c>
      <c r="D102" t="s">
        <v>8</v>
      </c>
      <c r="E102" t="s">
        <v>23</v>
      </c>
      <c r="F102">
        <v>10</v>
      </c>
      <c r="G102">
        <v>499</v>
      </c>
      <c r="H102">
        <v>4990</v>
      </c>
    </row>
    <row r="103" spans="1:8">
      <c r="A103">
        <v>1102</v>
      </c>
      <c r="B103" s="5">
        <v>44989</v>
      </c>
      <c r="C103" t="s">
        <v>7</v>
      </c>
      <c r="D103" t="s">
        <v>8</v>
      </c>
      <c r="E103" t="s">
        <v>19</v>
      </c>
      <c r="F103">
        <v>2</v>
      </c>
      <c r="G103">
        <v>699</v>
      </c>
      <c r="H103">
        <v>1398</v>
      </c>
    </row>
    <row r="104" spans="1:8">
      <c r="A104">
        <v>1103</v>
      </c>
      <c r="B104" s="5">
        <v>45065</v>
      </c>
      <c r="C104" t="s">
        <v>13</v>
      </c>
      <c r="D104" t="s">
        <v>14</v>
      </c>
      <c r="E104" t="s">
        <v>25</v>
      </c>
      <c r="F104">
        <v>3</v>
      </c>
      <c r="G104">
        <v>149.99</v>
      </c>
      <c r="H104">
        <v>449.97</v>
      </c>
    </row>
    <row r="105" spans="1:8">
      <c r="A105">
        <v>1104</v>
      </c>
      <c r="B105" s="5">
        <v>45007</v>
      </c>
      <c r="C105" t="s">
        <v>10</v>
      </c>
      <c r="D105" t="s">
        <v>17</v>
      </c>
      <c r="E105" t="s">
        <v>22</v>
      </c>
      <c r="F105">
        <v>2</v>
      </c>
      <c r="G105">
        <v>29.99</v>
      </c>
      <c r="H105">
        <v>59.98</v>
      </c>
    </row>
    <row r="106" spans="1:8">
      <c r="A106">
        <v>1105</v>
      </c>
      <c r="B106" s="5">
        <v>45089</v>
      </c>
      <c r="C106" t="s">
        <v>16</v>
      </c>
      <c r="D106" t="s">
        <v>11</v>
      </c>
      <c r="E106" t="s">
        <v>24</v>
      </c>
      <c r="F106">
        <v>3</v>
      </c>
      <c r="G106">
        <v>89.99</v>
      </c>
      <c r="H106">
        <v>269.97000000000003</v>
      </c>
    </row>
    <row r="107" spans="1:8">
      <c r="A107">
        <v>1106</v>
      </c>
      <c r="B107" s="5">
        <v>45215</v>
      </c>
      <c r="C107" t="s">
        <v>7</v>
      </c>
      <c r="D107" t="s">
        <v>17</v>
      </c>
      <c r="E107" t="s">
        <v>22</v>
      </c>
      <c r="F107">
        <v>7</v>
      </c>
      <c r="G107">
        <v>29.99</v>
      </c>
      <c r="H107">
        <v>209.93</v>
      </c>
    </row>
    <row r="108" spans="1:8">
      <c r="A108">
        <v>1107</v>
      </c>
      <c r="B108" s="5">
        <v>45187</v>
      </c>
      <c r="C108" t="s">
        <v>16</v>
      </c>
      <c r="D108" t="s">
        <v>8</v>
      </c>
      <c r="E108" t="s">
        <v>23</v>
      </c>
      <c r="F108">
        <v>1</v>
      </c>
      <c r="G108">
        <v>499</v>
      </c>
      <c r="H108">
        <v>499</v>
      </c>
    </row>
    <row r="109" spans="1:8">
      <c r="A109">
        <v>1108</v>
      </c>
      <c r="B109" s="5">
        <v>45157</v>
      </c>
      <c r="C109" t="s">
        <v>10</v>
      </c>
      <c r="D109" t="s">
        <v>14</v>
      </c>
      <c r="E109" t="s">
        <v>21</v>
      </c>
      <c r="F109">
        <v>10</v>
      </c>
      <c r="G109">
        <v>79.989999999999995</v>
      </c>
      <c r="H109">
        <v>799.9</v>
      </c>
    </row>
    <row r="110" spans="1:8">
      <c r="A110">
        <v>1109</v>
      </c>
      <c r="B110" s="5">
        <v>44967</v>
      </c>
      <c r="C110" t="s">
        <v>10</v>
      </c>
      <c r="D110" t="s">
        <v>14</v>
      </c>
      <c r="E110" t="s">
        <v>21</v>
      </c>
      <c r="F110">
        <v>8</v>
      </c>
      <c r="G110">
        <v>79.989999999999995</v>
      </c>
      <c r="H110">
        <v>639.91999999999996</v>
      </c>
    </row>
    <row r="111" spans="1:8">
      <c r="A111">
        <v>1110</v>
      </c>
      <c r="B111" s="5">
        <v>44954</v>
      </c>
      <c r="C111" t="s">
        <v>10</v>
      </c>
      <c r="D111" t="s">
        <v>8</v>
      </c>
      <c r="E111" t="s">
        <v>19</v>
      </c>
      <c r="F111">
        <v>10</v>
      </c>
      <c r="G111">
        <v>699</v>
      </c>
      <c r="H111">
        <v>6990</v>
      </c>
    </row>
    <row r="112" spans="1:8">
      <c r="A112">
        <v>1111</v>
      </c>
      <c r="B112" s="5">
        <v>45061</v>
      </c>
      <c r="C112" t="s">
        <v>13</v>
      </c>
      <c r="D112" t="s">
        <v>11</v>
      </c>
      <c r="E112" t="s">
        <v>24</v>
      </c>
      <c r="F112">
        <v>10</v>
      </c>
      <c r="G112">
        <v>89.99</v>
      </c>
      <c r="H112">
        <v>899.9</v>
      </c>
    </row>
    <row r="113" spans="1:8">
      <c r="A113">
        <v>1112</v>
      </c>
      <c r="B113" s="5">
        <v>45127</v>
      </c>
      <c r="C113" t="s">
        <v>13</v>
      </c>
      <c r="D113" t="s">
        <v>14</v>
      </c>
      <c r="E113" t="s">
        <v>15</v>
      </c>
      <c r="F113">
        <v>10</v>
      </c>
      <c r="G113">
        <v>599</v>
      </c>
      <c r="H113">
        <v>5990</v>
      </c>
    </row>
    <row r="114" spans="1:8">
      <c r="A114">
        <v>1113</v>
      </c>
      <c r="B114" s="5">
        <v>45254</v>
      </c>
      <c r="C114" t="s">
        <v>16</v>
      </c>
      <c r="D114" t="s">
        <v>8</v>
      </c>
      <c r="E114" t="s">
        <v>19</v>
      </c>
      <c r="F114">
        <v>2</v>
      </c>
      <c r="G114">
        <v>699</v>
      </c>
      <c r="H114">
        <v>1398</v>
      </c>
    </row>
    <row r="115" spans="1:8">
      <c r="A115">
        <v>1114</v>
      </c>
      <c r="B115" s="5">
        <v>45194</v>
      </c>
      <c r="C115" t="s">
        <v>16</v>
      </c>
      <c r="D115" t="s">
        <v>17</v>
      </c>
      <c r="E115" t="s">
        <v>18</v>
      </c>
      <c r="F115">
        <v>3</v>
      </c>
      <c r="G115">
        <v>89.99</v>
      </c>
      <c r="H115">
        <v>269.97000000000003</v>
      </c>
    </row>
    <row r="116" spans="1:8">
      <c r="A116">
        <v>1115</v>
      </c>
      <c r="B116" s="5">
        <v>44959</v>
      </c>
      <c r="C116" t="s">
        <v>7</v>
      </c>
      <c r="D116" t="s">
        <v>17</v>
      </c>
      <c r="E116" t="s">
        <v>22</v>
      </c>
      <c r="F116">
        <v>9</v>
      </c>
      <c r="G116">
        <v>29.99</v>
      </c>
      <c r="H116">
        <v>269.91000000000003</v>
      </c>
    </row>
    <row r="117" spans="1:8">
      <c r="A117">
        <v>1116</v>
      </c>
      <c r="B117" s="5">
        <v>44974</v>
      </c>
      <c r="C117" t="s">
        <v>7</v>
      </c>
      <c r="D117" t="s">
        <v>8</v>
      </c>
      <c r="E117" t="s">
        <v>19</v>
      </c>
      <c r="F117">
        <v>7</v>
      </c>
      <c r="G117">
        <v>699</v>
      </c>
      <c r="H117">
        <v>4893</v>
      </c>
    </row>
    <row r="118" spans="1:8">
      <c r="A118">
        <v>1117</v>
      </c>
      <c r="B118" s="5">
        <v>44988</v>
      </c>
      <c r="C118" t="s">
        <v>16</v>
      </c>
      <c r="D118" t="s">
        <v>17</v>
      </c>
      <c r="E118" t="s">
        <v>22</v>
      </c>
      <c r="F118">
        <v>4</v>
      </c>
      <c r="G118">
        <v>29.99</v>
      </c>
      <c r="H118">
        <v>119.96</v>
      </c>
    </row>
    <row r="119" spans="1:8">
      <c r="A119">
        <v>1118</v>
      </c>
      <c r="B119" s="5">
        <v>45142</v>
      </c>
      <c r="C119" t="s">
        <v>13</v>
      </c>
      <c r="D119" t="s">
        <v>8</v>
      </c>
      <c r="E119" t="s">
        <v>9</v>
      </c>
      <c r="F119">
        <v>10</v>
      </c>
      <c r="G119">
        <v>899</v>
      </c>
      <c r="H119">
        <v>8990</v>
      </c>
    </row>
    <row r="120" spans="1:8">
      <c r="A120">
        <v>1119</v>
      </c>
      <c r="B120" s="5">
        <v>45219</v>
      </c>
      <c r="C120" t="s">
        <v>10</v>
      </c>
      <c r="D120" t="s">
        <v>14</v>
      </c>
      <c r="E120" t="s">
        <v>21</v>
      </c>
      <c r="F120">
        <v>5</v>
      </c>
      <c r="G120">
        <v>79.989999999999995</v>
      </c>
      <c r="H120">
        <v>399.95</v>
      </c>
    </row>
    <row r="121" spans="1:8">
      <c r="A121">
        <v>1120</v>
      </c>
      <c r="B121" s="5">
        <v>45025</v>
      </c>
      <c r="C121" t="s">
        <v>16</v>
      </c>
      <c r="D121" t="s">
        <v>8</v>
      </c>
      <c r="E121" t="s">
        <v>9</v>
      </c>
      <c r="F121">
        <v>2</v>
      </c>
      <c r="G121">
        <v>899</v>
      </c>
      <c r="H121">
        <v>1798</v>
      </c>
    </row>
    <row r="122" spans="1:8">
      <c r="A122">
        <v>1121</v>
      </c>
      <c r="B122" s="5">
        <v>45098</v>
      </c>
      <c r="C122" t="s">
        <v>7</v>
      </c>
      <c r="D122" t="s">
        <v>14</v>
      </c>
      <c r="E122" t="s">
        <v>25</v>
      </c>
      <c r="F122">
        <v>8</v>
      </c>
      <c r="G122">
        <v>149.99</v>
      </c>
      <c r="H122">
        <v>1199.92</v>
      </c>
    </row>
    <row r="123" spans="1:8">
      <c r="A123">
        <v>1122</v>
      </c>
      <c r="B123" s="5">
        <v>45286</v>
      </c>
      <c r="C123" t="s">
        <v>13</v>
      </c>
      <c r="D123" t="s">
        <v>17</v>
      </c>
      <c r="E123" t="s">
        <v>18</v>
      </c>
      <c r="F123">
        <v>4</v>
      </c>
      <c r="G123">
        <v>89.99</v>
      </c>
      <c r="H123">
        <v>359.96</v>
      </c>
    </row>
    <row r="124" spans="1:8">
      <c r="A124">
        <v>1123</v>
      </c>
      <c r="B124" s="5">
        <v>45140</v>
      </c>
      <c r="C124" t="s">
        <v>16</v>
      </c>
      <c r="D124" t="s">
        <v>11</v>
      </c>
      <c r="E124" t="s">
        <v>24</v>
      </c>
      <c r="F124">
        <v>9</v>
      </c>
      <c r="G124">
        <v>89.99</v>
      </c>
      <c r="H124">
        <v>809.91</v>
      </c>
    </row>
    <row r="125" spans="1:8">
      <c r="A125">
        <v>1124</v>
      </c>
      <c r="B125" s="5">
        <v>44961</v>
      </c>
      <c r="C125" t="s">
        <v>16</v>
      </c>
      <c r="D125" t="s">
        <v>14</v>
      </c>
      <c r="E125" t="s">
        <v>15</v>
      </c>
      <c r="F125">
        <v>5</v>
      </c>
      <c r="G125">
        <v>599</v>
      </c>
      <c r="H125">
        <v>2995</v>
      </c>
    </row>
    <row r="126" spans="1:8">
      <c r="A126">
        <v>1125</v>
      </c>
      <c r="B126" s="5">
        <v>45153</v>
      </c>
      <c r="C126" t="s">
        <v>13</v>
      </c>
      <c r="D126" t="s">
        <v>17</v>
      </c>
      <c r="E126" t="s">
        <v>22</v>
      </c>
      <c r="F126">
        <v>9</v>
      </c>
      <c r="G126">
        <v>29.99</v>
      </c>
      <c r="H126">
        <v>269.91000000000003</v>
      </c>
    </row>
    <row r="127" spans="1:8">
      <c r="A127">
        <v>1126</v>
      </c>
      <c r="B127" s="5">
        <v>45027</v>
      </c>
      <c r="C127" t="s">
        <v>16</v>
      </c>
      <c r="D127" t="s">
        <v>14</v>
      </c>
      <c r="E127" t="s">
        <v>15</v>
      </c>
      <c r="F127">
        <v>4</v>
      </c>
      <c r="G127">
        <v>599</v>
      </c>
      <c r="H127">
        <v>2396</v>
      </c>
    </row>
    <row r="128" spans="1:8">
      <c r="A128">
        <v>1127</v>
      </c>
      <c r="B128" s="5">
        <v>45057</v>
      </c>
      <c r="C128" t="s">
        <v>13</v>
      </c>
      <c r="D128" t="s">
        <v>17</v>
      </c>
      <c r="E128" t="s">
        <v>22</v>
      </c>
      <c r="F128">
        <v>10</v>
      </c>
      <c r="G128">
        <v>29.99</v>
      </c>
      <c r="H128">
        <v>299.89999999999998</v>
      </c>
    </row>
    <row r="129" spans="1:8">
      <c r="A129">
        <v>1128</v>
      </c>
      <c r="B129" s="5">
        <v>45183</v>
      </c>
      <c r="C129" t="s">
        <v>10</v>
      </c>
      <c r="D129" t="s">
        <v>8</v>
      </c>
      <c r="E129" t="s">
        <v>23</v>
      </c>
      <c r="F129">
        <v>5</v>
      </c>
      <c r="G129">
        <v>499</v>
      </c>
      <c r="H129">
        <v>2495</v>
      </c>
    </row>
    <row r="130" spans="1:8">
      <c r="A130">
        <v>1129</v>
      </c>
      <c r="B130" s="5">
        <v>44931</v>
      </c>
      <c r="C130" t="s">
        <v>13</v>
      </c>
      <c r="D130" t="s">
        <v>8</v>
      </c>
      <c r="E130" t="s">
        <v>19</v>
      </c>
      <c r="F130">
        <v>9</v>
      </c>
      <c r="G130">
        <v>699</v>
      </c>
      <c r="H130">
        <v>6291</v>
      </c>
    </row>
    <row r="131" spans="1:8">
      <c r="A131">
        <v>1130</v>
      </c>
      <c r="B131" s="5">
        <v>45144</v>
      </c>
      <c r="C131" t="s">
        <v>13</v>
      </c>
      <c r="D131" t="s">
        <v>14</v>
      </c>
      <c r="E131" t="s">
        <v>25</v>
      </c>
      <c r="F131">
        <v>8</v>
      </c>
      <c r="G131">
        <v>149.99</v>
      </c>
      <c r="H131">
        <v>1199.92</v>
      </c>
    </row>
    <row r="132" spans="1:8">
      <c r="A132">
        <v>1131</v>
      </c>
      <c r="B132" s="5">
        <v>45181</v>
      </c>
      <c r="C132" t="s">
        <v>13</v>
      </c>
      <c r="D132" t="s">
        <v>14</v>
      </c>
      <c r="E132" t="s">
        <v>21</v>
      </c>
      <c r="F132">
        <v>3</v>
      </c>
      <c r="G132">
        <v>79.989999999999995</v>
      </c>
      <c r="H132">
        <v>239.97</v>
      </c>
    </row>
    <row r="133" spans="1:8">
      <c r="A133">
        <v>1132</v>
      </c>
      <c r="B133" s="5">
        <v>45285</v>
      </c>
      <c r="C133" t="s">
        <v>16</v>
      </c>
      <c r="D133" t="s">
        <v>17</v>
      </c>
      <c r="E133" t="s">
        <v>26</v>
      </c>
      <c r="F133">
        <v>1</v>
      </c>
      <c r="G133">
        <v>34.99</v>
      </c>
      <c r="H133">
        <v>34.99</v>
      </c>
    </row>
    <row r="134" spans="1:8">
      <c r="A134">
        <v>1133</v>
      </c>
      <c r="B134" s="5">
        <v>45209</v>
      </c>
      <c r="C134" t="s">
        <v>16</v>
      </c>
      <c r="D134" t="s">
        <v>17</v>
      </c>
      <c r="E134" t="s">
        <v>22</v>
      </c>
      <c r="F134">
        <v>3</v>
      </c>
      <c r="G134">
        <v>29.99</v>
      </c>
      <c r="H134">
        <v>89.97</v>
      </c>
    </row>
    <row r="135" spans="1:8">
      <c r="A135">
        <v>1134</v>
      </c>
      <c r="B135" s="5">
        <v>45133</v>
      </c>
      <c r="C135" t="s">
        <v>13</v>
      </c>
      <c r="D135" t="s">
        <v>14</v>
      </c>
      <c r="E135" t="s">
        <v>15</v>
      </c>
      <c r="F135">
        <v>4</v>
      </c>
      <c r="G135">
        <v>599</v>
      </c>
      <c r="H135">
        <v>2396</v>
      </c>
    </row>
    <row r="136" spans="1:8">
      <c r="A136">
        <v>1135</v>
      </c>
      <c r="B136" s="5">
        <v>44941</v>
      </c>
      <c r="C136" t="s">
        <v>16</v>
      </c>
      <c r="D136" t="s">
        <v>14</v>
      </c>
      <c r="E136" t="s">
        <v>25</v>
      </c>
      <c r="F136">
        <v>2</v>
      </c>
      <c r="G136">
        <v>149.99</v>
      </c>
      <c r="H136">
        <v>299.98</v>
      </c>
    </row>
    <row r="137" spans="1:8">
      <c r="A137">
        <v>1136</v>
      </c>
      <c r="B137" s="5">
        <v>45272</v>
      </c>
      <c r="C137" t="s">
        <v>7</v>
      </c>
      <c r="D137" t="s">
        <v>11</v>
      </c>
      <c r="E137" t="s">
        <v>12</v>
      </c>
      <c r="F137">
        <v>1</v>
      </c>
      <c r="G137">
        <v>29.99</v>
      </c>
      <c r="H137">
        <v>29.99</v>
      </c>
    </row>
    <row r="138" spans="1:8">
      <c r="A138">
        <v>1137</v>
      </c>
      <c r="B138" s="5">
        <v>44968</v>
      </c>
      <c r="C138" t="s">
        <v>7</v>
      </c>
      <c r="D138" t="s">
        <v>11</v>
      </c>
      <c r="E138" t="s">
        <v>12</v>
      </c>
      <c r="F138">
        <v>7</v>
      </c>
      <c r="G138">
        <v>29.99</v>
      </c>
      <c r="H138">
        <v>209.93</v>
      </c>
    </row>
    <row r="139" spans="1:8">
      <c r="A139">
        <v>1138</v>
      </c>
      <c r="B139" s="5">
        <v>45105</v>
      </c>
      <c r="C139" t="s">
        <v>16</v>
      </c>
      <c r="D139" t="s">
        <v>8</v>
      </c>
      <c r="E139" t="s">
        <v>9</v>
      </c>
      <c r="F139">
        <v>8</v>
      </c>
      <c r="G139">
        <v>899</v>
      </c>
      <c r="H139">
        <v>7192</v>
      </c>
    </row>
    <row r="140" spans="1:8">
      <c r="A140">
        <v>1139</v>
      </c>
      <c r="B140" s="5">
        <v>44989</v>
      </c>
      <c r="C140" t="s">
        <v>16</v>
      </c>
      <c r="D140" t="s">
        <v>14</v>
      </c>
      <c r="E140" t="s">
        <v>21</v>
      </c>
      <c r="F140">
        <v>7</v>
      </c>
      <c r="G140">
        <v>79.989999999999995</v>
      </c>
      <c r="H140">
        <v>559.92999999999995</v>
      </c>
    </row>
    <row r="141" spans="1:8">
      <c r="A141">
        <v>1140</v>
      </c>
      <c r="B141" s="5">
        <v>45278</v>
      </c>
      <c r="C141" t="s">
        <v>13</v>
      </c>
      <c r="D141" t="s">
        <v>17</v>
      </c>
      <c r="E141" t="s">
        <v>26</v>
      </c>
      <c r="F141">
        <v>5</v>
      </c>
      <c r="G141">
        <v>34.99</v>
      </c>
      <c r="H141">
        <v>174.95</v>
      </c>
    </row>
    <row r="142" spans="1:8">
      <c r="A142">
        <v>1141</v>
      </c>
      <c r="B142" s="5">
        <v>45157</v>
      </c>
      <c r="C142" t="s">
        <v>10</v>
      </c>
      <c r="D142" t="s">
        <v>8</v>
      </c>
      <c r="E142" t="s">
        <v>23</v>
      </c>
      <c r="F142">
        <v>1</v>
      </c>
      <c r="G142">
        <v>499</v>
      </c>
      <c r="H142">
        <v>499</v>
      </c>
    </row>
    <row r="143" spans="1:8">
      <c r="A143">
        <v>1142</v>
      </c>
      <c r="B143" s="5">
        <v>45167</v>
      </c>
      <c r="C143" t="s">
        <v>16</v>
      </c>
      <c r="D143" t="s">
        <v>14</v>
      </c>
      <c r="E143" t="s">
        <v>15</v>
      </c>
      <c r="F143">
        <v>7</v>
      </c>
      <c r="G143">
        <v>599</v>
      </c>
      <c r="H143">
        <v>4193</v>
      </c>
    </row>
    <row r="144" spans="1:8">
      <c r="A144">
        <v>1143</v>
      </c>
      <c r="B144" s="5">
        <v>44978</v>
      </c>
      <c r="C144" t="s">
        <v>7</v>
      </c>
      <c r="D144" t="s">
        <v>17</v>
      </c>
      <c r="E144" t="s">
        <v>26</v>
      </c>
      <c r="F144">
        <v>7</v>
      </c>
      <c r="G144">
        <v>34.99</v>
      </c>
      <c r="H144">
        <v>244.93</v>
      </c>
    </row>
    <row r="145" spans="1:8">
      <c r="A145">
        <v>1144</v>
      </c>
      <c r="B145" s="5">
        <v>45022</v>
      </c>
      <c r="C145" t="s">
        <v>13</v>
      </c>
      <c r="D145" t="s">
        <v>8</v>
      </c>
      <c r="E145" t="s">
        <v>19</v>
      </c>
      <c r="F145">
        <v>9</v>
      </c>
      <c r="G145">
        <v>699</v>
      </c>
      <c r="H145">
        <v>6291</v>
      </c>
    </row>
    <row r="146" spans="1:8">
      <c r="A146">
        <v>1145</v>
      </c>
      <c r="B146" s="5">
        <v>45148</v>
      </c>
      <c r="C146" t="s">
        <v>16</v>
      </c>
      <c r="D146" t="s">
        <v>8</v>
      </c>
      <c r="E146" t="s">
        <v>19</v>
      </c>
      <c r="F146">
        <v>3</v>
      </c>
      <c r="G146">
        <v>699</v>
      </c>
      <c r="H146">
        <v>2097</v>
      </c>
    </row>
    <row r="147" spans="1:8">
      <c r="A147">
        <v>1146</v>
      </c>
      <c r="B147" s="5">
        <v>45157</v>
      </c>
      <c r="C147" t="s">
        <v>7</v>
      </c>
      <c r="D147" t="s">
        <v>14</v>
      </c>
      <c r="E147" t="s">
        <v>15</v>
      </c>
      <c r="F147">
        <v>9</v>
      </c>
      <c r="G147">
        <v>599</v>
      </c>
      <c r="H147">
        <v>5391</v>
      </c>
    </row>
    <row r="148" spans="1:8">
      <c r="A148">
        <v>1147</v>
      </c>
      <c r="B148" s="5">
        <v>45163</v>
      </c>
      <c r="C148" t="s">
        <v>7</v>
      </c>
      <c r="D148" t="s">
        <v>11</v>
      </c>
      <c r="E148" t="s">
        <v>24</v>
      </c>
      <c r="F148">
        <v>1</v>
      </c>
      <c r="G148">
        <v>89.99</v>
      </c>
      <c r="H148">
        <v>89.99</v>
      </c>
    </row>
    <row r="149" spans="1:8">
      <c r="A149">
        <v>1148</v>
      </c>
      <c r="B149" s="5">
        <v>45069</v>
      </c>
      <c r="C149" t="s">
        <v>10</v>
      </c>
      <c r="D149" t="s">
        <v>8</v>
      </c>
      <c r="E149" t="s">
        <v>23</v>
      </c>
      <c r="F149">
        <v>1</v>
      </c>
      <c r="G149">
        <v>499</v>
      </c>
      <c r="H149">
        <v>499</v>
      </c>
    </row>
    <row r="150" spans="1:8">
      <c r="A150">
        <v>1149</v>
      </c>
      <c r="B150" s="5">
        <v>45097</v>
      </c>
      <c r="C150" t="s">
        <v>13</v>
      </c>
      <c r="D150" t="s">
        <v>14</v>
      </c>
      <c r="E150" t="s">
        <v>25</v>
      </c>
      <c r="F150">
        <v>4</v>
      </c>
      <c r="G150">
        <v>149.99</v>
      </c>
      <c r="H150">
        <v>599.96</v>
      </c>
    </row>
    <row r="151" spans="1:8">
      <c r="A151">
        <v>1150</v>
      </c>
      <c r="B151" s="5">
        <v>44955</v>
      </c>
      <c r="C151" t="s">
        <v>13</v>
      </c>
      <c r="D151" t="s">
        <v>17</v>
      </c>
      <c r="E151" t="s">
        <v>22</v>
      </c>
      <c r="F151">
        <v>9</v>
      </c>
      <c r="G151">
        <v>29.99</v>
      </c>
      <c r="H151">
        <v>269.91000000000003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B6D6E-C0E6-47AA-A0B9-035F1BFEC3DF}">
  <dimension ref="A1:I151"/>
  <sheetViews>
    <sheetView workbookViewId="0">
      <selection activeCell="I1" sqref="I1"/>
    </sheetView>
  </sheetViews>
  <sheetFormatPr defaultRowHeight="15"/>
  <cols>
    <col min="1" max="1" width="10.140625" customWidth="1"/>
    <col min="2" max="2" width="13.7109375" customWidth="1"/>
    <col min="3" max="3" width="10.85546875" customWidth="1"/>
    <col min="4" max="4" width="15.140625" bestFit="1" customWidth="1"/>
    <col min="5" max="5" width="11.42578125" customWidth="1"/>
    <col min="6" max="6" width="12" customWidth="1"/>
    <col min="7" max="7" width="12.7109375" customWidth="1"/>
    <col min="8" max="8" width="12.42578125" customWidth="1"/>
    <col min="9" max="9" width="32.42578125" bestFit="1" customWidth="1"/>
  </cols>
  <sheetData>
    <row r="1" spans="1:9" ht="20.25" customHeight="1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27</v>
      </c>
      <c r="I1" s="1" t="s">
        <v>29</v>
      </c>
    </row>
    <row r="2" spans="1:9">
      <c r="A2">
        <v>1001</v>
      </c>
      <c r="B2" s="2">
        <f ca="1">RANDBETWEEN(DATE(2024,1,1),DATE(2024,12,30))</f>
        <v>45418</v>
      </c>
      <c r="C2" t="str">
        <f ca="1">CHOOSE(RANDBETWEEN(1,4), "North", "South", "East", "West")</f>
        <v>West</v>
      </c>
      <c r="D2" t="s">
        <v>8</v>
      </c>
      <c r="E2" t="s">
        <v>9</v>
      </c>
      <c r="F2">
        <f ca="1">RANDBETWEEN(1,10)</f>
        <v>7</v>
      </c>
      <c r="G2">
        <f ca="1">ROUND(RANDBETWEEN(999,99999)/100,2)</f>
        <v>96.41</v>
      </c>
      <c r="H2">
        <f ca="1">Table3[[#This Row],[UnitPrice]]*Table3[[#This Row],[Quantity]]</f>
        <v>674.87</v>
      </c>
    </row>
    <row r="3" spans="1:9">
      <c r="A3">
        <f>A2+1</f>
        <v>1002</v>
      </c>
      <c r="B3" s="2">
        <f t="shared" ref="B3:B66" ca="1" si="0">RANDBETWEEN(DATE(2024,1,1),DATE(2024,12,30))</f>
        <v>45590</v>
      </c>
      <c r="C3" t="str">
        <f t="shared" ref="C3:C66" ca="1" si="1">CHOOSE(RANDBETWEEN(1,4), "North", "South", "East", "West")</f>
        <v>South</v>
      </c>
      <c r="D3" t="s">
        <v>11</v>
      </c>
      <c r="E3" t="s">
        <v>12</v>
      </c>
      <c r="F3">
        <f t="shared" ref="F3:F66" ca="1" si="2">RANDBETWEEN(1,10)</f>
        <v>5</v>
      </c>
      <c r="G3">
        <f t="shared" ref="G3:G66" ca="1" si="3">ROUND(RANDBETWEEN(999,99999)/100,2)</f>
        <v>511.17</v>
      </c>
      <c r="H3">
        <f ca="1">Table3[[#This Row],[UnitPrice]]*Table3[[#This Row],[Quantity]]</f>
        <v>2555.85</v>
      </c>
    </row>
    <row r="4" spans="1:9">
      <c r="A4">
        <f t="shared" ref="A4:A67" si="4">A3+1</f>
        <v>1003</v>
      </c>
      <c r="B4" s="2">
        <f t="shared" ca="1" si="0"/>
        <v>45354</v>
      </c>
      <c r="C4" t="str">
        <f t="shared" ca="1" si="1"/>
        <v>West</v>
      </c>
      <c r="D4" t="s">
        <v>14</v>
      </c>
      <c r="E4" t="s">
        <v>15</v>
      </c>
      <c r="F4">
        <f t="shared" ca="1" si="2"/>
        <v>3</v>
      </c>
      <c r="G4">
        <f t="shared" ca="1" si="3"/>
        <v>55</v>
      </c>
      <c r="H4">
        <f ca="1">Table3[[#This Row],[UnitPrice]]*Table3[[#This Row],[Quantity]]</f>
        <v>165</v>
      </c>
    </row>
    <row r="5" spans="1:9">
      <c r="A5">
        <f t="shared" si="4"/>
        <v>1004</v>
      </c>
      <c r="B5" s="2">
        <f t="shared" ca="1" si="0"/>
        <v>45549</v>
      </c>
      <c r="C5" t="str">
        <f t="shared" ca="1" si="1"/>
        <v>North</v>
      </c>
      <c r="D5" t="s">
        <v>17</v>
      </c>
      <c r="E5" t="s">
        <v>18</v>
      </c>
      <c r="F5">
        <f t="shared" ca="1" si="2"/>
        <v>2</v>
      </c>
      <c r="G5">
        <f t="shared" ca="1" si="3"/>
        <v>41.23</v>
      </c>
      <c r="H5">
        <f ca="1">Table3[[#This Row],[UnitPrice]]*Table3[[#This Row],[Quantity]]</f>
        <v>82.46</v>
      </c>
    </row>
    <row r="6" spans="1:9">
      <c r="A6">
        <f t="shared" si="4"/>
        <v>1005</v>
      </c>
      <c r="B6" s="2">
        <f t="shared" ca="1" si="0"/>
        <v>45425</v>
      </c>
      <c r="C6" t="str">
        <f t="shared" ca="1" si="1"/>
        <v>East</v>
      </c>
      <c r="D6" t="s">
        <v>8</v>
      </c>
      <c r="E6" t="s">
        <v>19</v>
      </c>
      <c r="F6">
        <f t="shared" ca="1" si="2"/>
        <v>2</v>
      </c>
      <c r="G6">
        <f t="shared" ca="1" si="3"/>
        <v>869.39</v>
      </c>
      <c r="H6">
        <f ca="1">Table3[[#This Row],[UnitPrice]]*Table3[[#This Row],[Quantity]]</f>
        <v>1738.78</v>
      </c>
    </row>
    <row r="7" spans="1:9">
      <c r="A7">
        <f t="shared" si="4"/>
        <v>1006</v>
      </c>
      <c r="B7" s="2">
        <f t="shared" ca="1" si="0"/>
        <v>45481</v>
      </c>
      <c r="C7" t="str">
        <f t="shared" ca="1" si="1"/>
        <v>West</v>
      </c>
      <c r="D7" t="s">
        <v>11</v>
      </c>
      <c r="E7" t="s">
        <v>20</v>
      </c>
      <c r="F7">
        <f t="shared" ca="1" si="2"/>
        <v>10</v>
      </c>
      <c r="G7">
        <f t="shared" ca="1" si="3"/>
        <v>614.21</v>
      </c>
      <c r="H7">
        <f ca="1">Table3[[#This Row],[UnitPrice]]*Table3[[#This Row],[Quantity]]</f>
        <v>6142.1</v>
      </c>
    </row>
    <row r="8" spans="1:9">
      <c r="A8">
        <f t="shared" si="4"/>
        <v>1007</v>
      </c>
      <c r="B8" s="2">
        <f t="shared" ca="1" si="0"/>
        <v>45391</v>
      </c>
      <c r="C8" t="str">
        <f t="shared" ca="1" si="1"/>
        <v>North</v>
      </c>
      <c r="D8" t="s">
        <v>14</v>
      </c>
      <c r="E8" t="s">
        <v>21</v>
      </c>
      <c r="F8">
        <f t="shared" ca="1" si="2"/>
        <v>2</v>
      </c>
      <c r="G8">
        <f t="shared" ca="1" si="3"/>
        <v>683.11</v>
      </c>
      <c r="H8">
        <f ca="1">Table3[[#This Row],[UnitPrice]]*Table3[[#This Row],[Quantity]]</f>
        <v>1366.22</v>
      </c>
    </row>
    <row r="9" spans="1:9">
      <c r="A9">
        <f t="shared" si="4"/>
        <v>1008</v>
      </c>
      <c r="B9" s="2">
        <f t="shared" ca="1" si="0"/>
        <v>45386</v>
      </c>
      <c r="C9" t="str">
        <f t="shared" ca="1" si="1"/>
        <v>South</v>
      </c>
      <c r="D9" t="s">
        <v>17</v>
      </c>
      <c r="E9" t="s">
        <v>22</v>
      </c>
      <c r="F9">
        <f t="shared" ca="1" si="2"/>
        <v>8</v>
      </c>
      <c r="G9">
        <f t="shared" ca="1" si="3"/>
        <v>448.63</v>
      </c>
      <c r="H9">
        <f ca="1">Table3[[#This Row],[UnitPrice]]*Table3[[#This Row],[Quantity]]</f>
        <v>3589.04</v>
      </c>
    </row>
    <row r="10" spans="1:9">
      <c r="A10">
        <f t="shared" si="4"/>
        <v>1009</v>
      </c>
      <c r="B10" s="2">
        <f t="shared" ca="1" si="0"/>
        <v>45518</v>
      </c>
      <c r="C10" t="str">
        <f t="shared" ca="1" si="1"/>
        <v>East</v>
      </c>
      <c r="D10" t="s">
        <v>8</v>
      </c>
      <c r="E10" t="s">
        <v>23</v>
      </c>
      <c r="F10">
        <f t="shared" ca="1" si="2"/>
        <v>4</v>
      </c>
      <c r="G10">
        <f t="shared" ca="1" si="3"/>
        <v>983.69</v>
      </c>
      <c r="H10">
        <f ca="1">Table3[[#This Row],[UnitPrice]]*Table3[[#This Row],[Quantity]]</f>
        <v>3934.76</v>
      </c>
    </row>
    <row r="11" spans="1:9">
      <c r="A11">
        <f t="shared" si="4"/>
        <v>1010</v>
      </c>
      <c r="B11" s="2">
        <f t="shared" ca="1" si="0"/>
        <v>45399</v>
      </c>
      <c r="C11" t="str">
        <f t="shared" ca="1" si="1"/>
        <v>West</v>
      </c>
      <c r="D11" t="s">
        <v>11</v>
      </c>
      <c r="E11" t="s">
        <v>24</v>
      </c>
      <c r="F11">
        <f t="shared" ca="1" si="2"/>
        <v>7</v>
      </c>
      <c r="G11">
        <f t="shared" ca="1" si="3"/>
        <v>957.23</v>
      </c>
      <c r="H11">
        <f ca="1">Table3[[#This Row],[UnitPrice]]*Table3[[#This Row],[Quantity]]</f>
        <v>6700.6100000000006</v>
      </c>
    </row>
    <row r="12" spans="1:9">
      <c r="A12">
        <f t="shared" si="4"/>
        <v>1011</v>
      </c>
      <c r="B12" s="2">
        <f t="shared" ca="1" si="0"/>
        <v>45354</v>
      </c>
      <c r="C12" t="str">
        <f t="shared" ca="1" si="1"/>
        <v>West</v>
      </c>
      <c r="D12" t="s">
        <v>14</v>
      </c>
      <c r="E12" t="s">
        <v>25</v>
      </c>
      <c r="F12">
        <f t="shared" ca="1" si="2"/>
        <v>8</v>
      </c>
      <c r="G12">
        <f t="shared" ca="1" si="3"/>
        <v>928.95</v>
      </c>
      <c r="H12">
        <f ca="1">Table3[[#This Row],[UnitPrice]]*Table3[[#This Row],[Quantity]]</f>
        <v>7431.6</v>
      </c>
    </row>
    <row r="13" spans="1:9">
      <c r="A13">
        <f t="shared" si="4"/>
        <v>1012</v>
      </c>
      <c r="B13" s="2">
        <f t="shared" ca="1" si="0"/>
        <v>45313</v>
      </c>
      <c r="C13" t="str">
        <f t="shared" ca="1" si="1"/>
        <v>South</v>
      </c>
      <c r="D13" t="s">
        <v>17</v>
      </c>
      <c r="E13" t="s">
        <v>26</v>
      </c>
      <c r="F13">
        <f t="shared" ca="1" si="2"/>
        <v>1</v>
      </c>
      <c r="G13">
        <f t="shared" ca="1" si="3"/>
        <v>533.38</v>
      </c>
      <c r="H13">
        <f ca="1">Table3[[#This Row],[UnitPrice]]*Table3[[#This Row],[Quantity]]</f>
        <v>533.38</v>
      </c>
    </row>
    <row r="14" spans="1:9">
      <c r="A14">
        <f t="shared" si="4"/>
        <v>1013</v>
      </c>
      <c r="B14" s="2">
        <f t="shared" ca="1" si="0"/>
        <v>45611</v>
      </c>
      <c r="C14" t="str">
        <f t="shared" ca="1" si="1"/>
        <v>North</v>
      </c>
      <c r="D14" t="s">
        <v>8</v>
      </c>
      <c r="E14" t="s">
        <v>9</v>
      </c>
      <c r="F14">
        <f t="shared" ca="1" si="2"/>
        <v>7</v>
      </c>
      <c r="G14">
        <f t="shared" ca="1" si="3"/>
        <v>560.72</v>
      </c>
      <c r="H14">
        <f ca="1">Table3[[#This Row],[UnitPrice]]*Table3[[#This Row],[Quantity]]</f>
        <v>3925.04</v>
      </c>
    </row>
    <row r="15" spans="1:9">
      <c r="A15">
        <f t="shared" si="4"/>
        <v>1014</v>
      </c>
      <c r="B15" s="2">
        <f t="shared" ca="1" si="0"/>
        <v>45654</v>
      </c>
      <c r="C15" t="str">
        <f t="shared" ca="1" si="1"/>
        <v>South</v>
      </c>
      <c r="D15" t="s">
        <v>11</v>
      </c>
      <c r="E15" t="s">
        <v>12</v>
      </c>
      <c r="F15">
        <f t="shared" ca="1" si="2"/>
        <v>7</v>
      </c>
      <c r="G15">
        <f t="shared" ca="1" si="3"/>
        <v>578.45000000000005</v>
      </c>
      <c r="H15">
        <f ca="1">Table3[[#This Row],[UnitPrice]]*Table3[[#This Row],[Quantity]]</f>
        <v>4049.1500000000005</v>
      </c>
    </row>
    <row r="16" spans="1:9">
      <c r="A16">
        <f t="shared" si="4"/>
        <v>1015</v>
      </c>
      <c r="B16" s="2">
        <f t="shared" ca="1" si="0"/>
        <v>45300</v>
      </c>
      <c r="C16" t="str">
        <f t="shared" ca="1" si="1"/>
        <v>North</v>
      </c>
      <c r="D16" t="s">
        <v>14</v>
      </c>
      <c r="E16" t="s">
        <v>15</v>
      </c>
      <c r="F16">
        <f t="shared" ca="1" si="2"/>
        <v>4</v>
      </c>
      <c r="G16">
        <f t="shared" ca="1" si="3"/>
        <v>487.35</v>
      </c>
      <c r="H16">
        <f ca="1">Table3[[#This Row],[UnitPrice]]*Table3[[#This Row],[Quantity]]</f>
        <v>1949.4</v>
      </c>
    </row>
    <row r="17" spans="1:8">
      <c r="A17">
        <f t="shared" si="4"/>
        <v>1016</v>
      </c>
      <c r="B17" s="2">
        <f t="shared" ca="1" si="0"/>
        <v>45319</v>
      </c>
      <c r="C17" t="str">
        <f t="shared" ca="1" si="1"/>
        <v>West</v>
      </c>
      <c r="D17" t="s">
        <v>17</v>
      </c>
      <c r="E17" t="s">
        <v>18</v>
      </c>
      <c r="F17">
        <f t="shared" ca="1" si="2"/>
        <v>9</v>
      </c>
      <c r="G17">
        <f t="shared" ca="1" si="3"/>
        <v>349.74</v>
      </c>
      <c r="H17">
        <f ca="1">Table3[[#This Row],[UnitPrice]]*Table3[[#This Row],[Quantity]]</f>
        <v>3147.66</v>
      </c>
    </row>
    <row r="18" spans="1:8">
      <c r="A18">
        <f t="shared" si="4"/>
        <v>1017</v>
      </c>
      <c r="B18" s="2">
        <f t="shared" ca="1" si="0"/>
        <v>45482</v>
      </c>
      <c r="C18" t="str">
        <f t="shared" ca="1" si="1"/>
        <v>North</v>
      </c>
      <c r="D18" t="s">
        <v>8</v>
      </c>
      <c r="E18" t="s">
        <v>19</v>
      </c>
      <c r="F18">
        <f t="shared" ca="1" si="2"/>
        <v>6</v>
      </c>
      <c r="G18">
        <f t="shared" ca="1" si="3"/>
        <v>558.22</v>
      </c>
      <c r="H18">
        <f ca="1">Table3[[#This Row],[UnitPrice]]*Table3[[#This Row],[Quantity]]</f>
        <v>3349.32</v>
      </c>
    </row>
    <row r="19" spans="1:8">
      <c r="A19">
        <f t="shared" si="4"/>
        <v>1018</v>
      </c>
      <c r="B19" s="2">
        <f t="shared" ca="1" si="0"/>
        <v>45501</v>
      </c>
      <c r="C19" t="str">
        <f t="shared" ca="1" si="1"/>
        <v>East</v>
      </c>
      <c r="D19" t="s">
        <v>11</v>
      </c>
      <c r="E19" t="s">
        <v>20</v>
      </c>
      <c r="F19">
        <f t="shared" ca="1" si="2"/>
        <v>10</v>
      </c>
      <c r="G19">
        <f t="shared" ca="1" si="3"/>
        <v>494.62</v>
      </c>
      <c r="H19">
        <f ca="1">Table3[[#This Row],[UnitPrice]]*Table3[[#This Row],[Quantity]]</f>
        <v>4946.2</v>
      </c>
    </row>
    <row r="20" spans="1:8">
      <c r="A20">
        <f t="shared" si="4"/>
        <v>1019</v>
      </c>
      <c r="B20" s="2">
        <f t="shared" ca="1" si="0"/>
        <v>45509</v>
      </c>
      <c r="C20" t="str">
        <f t="shared" ca="1" si="1"/>
        <v>East</v>
      </c>
      <c r="D20" t="s">
        <v>14</v>
      </c>
      <c r="E20" t="s">
        <v>21</v>
      </c>
      <c r="F20">
        <f t="shared" ca="1" si="2"/>
        <v>10</v>
      </c>
      <c r="G20">
        <f t="shared" ca="1" si="3"/>
        <v>831.44</v>
      </c>
      <c r="H20">
        <f ca="1">Table3[[#This Row],[UnitPrice]]*Table3[[#This Row],[Quantity]]</f>
        <v>8314.4000000000015</v>
      </c>
    </row>
    <row r="21" spans="1:8">
      <c r="A21">
        <f t="shared" si="4"/>
        <v>1020</v>
      </c>
      <c r="B21" s="2">
        <f t="shared" ca="1" si="0"/>
        <v>45526</v>
      </c>
      <c r="C21" t="str">
        <f t="shared" ca="1" si="1"/>
        <v>East</v>
      </c>
      <c r="D21" t="s">
        <v>17</v>
      </c>
      <c r="E21" t="s">
        <v>22</v>
      </c>
      <c r="F21">
        <f t="shared" ca="1" si="2"/>
        <v>3</v>
      </c>
      <c r="G21">
        <f t="shared" ca="1" si="3"/>
        <v>818.77</v>
      </c>
      <c r="H21">
        <f ca="1">Table3[[#This Row],[UnitPrice]]*Table3[[#This Row],[Quantity]]</f>
        <v>2456.31</v>
      </c>
    </row>
    <row r="22" spans="1:8">
      <c r="A22">
        <f t="shared" si="4"/>
        <v>1021</v>
      </c>
      <c r="B22" s="2">
        <f t="shared" ca="1" si="0"/>
        <v>45406</v>
      </c>
      <c r="C22" t="str">
        <f t="shared" ca="1" si="1"/>
        <v>West</v>
      </c>
      <c r="D22" t="s">
        <v>8</v>
      </c>
      <c r="E22" t="s">
        <v>23</v>
      </c>
      <c r="F22">
        <f t="shared" ca="1" si="2"/>
        <v>7</v>
      </c>
      <c r="G22">
        <f t="shared" ca="1" si="3"/>
        <v>70.510000000000005</v>
      </c>
      <c r="H22">
        <f ca="1">Table3[[#This Row],[UnitPrice]]*Table3[[#This Row],[Quantity]]</f>
        <v>493.57000000000005</v>
      </c>
    </row>
    <row r="23" spans="1:8">
      <c r="A23">
        <f t="shared" si="4"/>
        <v>1022</v>
      </c>
      <c r="B23" s="2">
        <f t="shared" ca="1" si="0"/>
        <v>45388</v>
      </c>
      <c r="C23" t="str">
        <f t="shared" ca="1" si="1"/>
        <v>North</v>
      </c>
      <c r="D23" t="s">
        <v>11</v>
      </c>
      <c r="E23" t="s">
        <v>24</v>
      </c>
      <c r="F23">
        <f t="shared" ca="1" si="2"/>
        <v>7</v>
      </c>
      <c r="G23">
        <f t="shared" ca="1" si="3"/>
        <v>424.05</v>
      </c>
      <c r="H23">
        <f ca="1">Table3[[#This Row],[UnitPrice]]*Table3[[#This Row],[Quantity]]</f>
        <v>2968.35</v>
      </c>
    </row>
    <row r="24" spans="1:8">
      <c r="A24">
        <f t="shared" si="4"/>
        <v>1023</v>
      </c>
      <c r="B24" s="2">
        <f t="shared" ca="1" si="0"/>
        <v>45471</v>
      </c>
      <c r="C24" t="str">
        <f t="shared" ca="1" si="1"/>
        <v>North</v>
      </c>
      <c r="D24" t="s">
        <v>14</v>
      </c>
      <c r="E24" t="s">
        <v>25</v>
      </c>
      <c r="F24">
        <f t="shared" ca="1" si="2"/>
        <v>8</v>
      </c>
      <c r="G24">
        <f t="shared" ca="1" si="3"/>
        <v>972.54</v>
      </c>
      <c r="H24">
        <f ca="1">Table3[[#This Row],[UnitPrice]]*Table3[[#This Row],[Quantity]]</f>
        <v>7780.32</v>
      </c>
    </row>
    <row r="25" spans="1:8">
      <c r="A25">
        <f t="shared" si="4"/>
        <v>1024</v>
      </c>
      <c r="B25" s="2">
        <f t="shared" ca="1" si="0"/>
        <v>45342</v>
      </c>
      <c r="C25" t="str">
        <f t="shared" ca="1" si="1"/>
        <v>West</v>
      </c>
      <c r="D25" t="s">
        <v>17</v>
      </c>
      <c r="E25" t="s">
        <v>26</v>
      </c>
      <c r="F25">
        <f t="shared" ca="1" si="2"/>
        <v>4</v>
      </c>
      <c r="G25">
        <f t="shared" ca="1" si="3"/>
        <v>322.74</v>
      </c>
      <c r="H25">
        <f ca="1">Table3[[#This Row],[UnitPrice]]*Table3[[#This Row],[Quantity]]</f>
        <v>1290.96</v>
      </c>
    </row>
    <row r="26" spans="1:8">
      <c r="A26">
        <f t="shared" si="4"/>
        <v>1025</v>
      </c>
      <c r="B26" s="2">
        <f t="shared" ca="1" si="0"/>
        <v>45469</v>
      </c>
      <c r="C26" t="str">
        <f t="shared" ca="1" si="1"/>
        <v>South</v>
      </c>
      <c r="D26" t="s">
        <v>8</v>
      </c>
      <c r="E26" t="s">
        <v>9</v>
      </c>
      <c r="F26">
        <f t="shared" ca="1" si="2"/>
        <v>6</v>
      </c>
      <c r="G26">
        <f t="shared" ca="1" si="3"/>
        <v>184.71</v>
      </c>
      <c r="H26">
        <f ca="1">Table3[[#This Row],[UnitPrice]]*Table3[[#This Row],[Quantity]]</f>
        <v>1108.26</v>
      </c>
    </row>
    <row r="27" spans="1:8">
      <c r="A27">
        <f t="shared" si="4"/>
        <v>1026</v>
      </c>
      <c r="B27" s="2">
        <f t="shared" ca="1" si="0"/>
        <v>45501</v>
      </c>
      <c r="C27" t="str">
        <f t="shared" ca="1" si="1"/>
        <v>East</v>
      </c>
      <c r="D27" t="s">
        <v>11</v>
      </c>
      <c r="E27" t="s">
        <v>12</v>
      </c>
      <c r="F27">
        <f t="shared" ca="1" si="2"/>
        <v>5</v>
      </c>
      <c r="G27">
        <f t="shared" ca="1" si="3"/>
        <v>898.81</v>
      </c>
      <c r="H27">
        <f ca="1">Table3[[#This Row],[UnitPrice]]*Table3[[#This Row],[Quantity]]</f>
        <v>4494.0499999999993</v>
      </c>
    </row>
    <row r="28" spans="1:8">
      <c r="A28">
        <f t="shared" si="4"/>
        <v>1027</v>
      </c>
      <c r="B28" s="2">
        <f t="shared" ca="1" si="0"/>
        <v>45547</v>
      </c>
      <c r="C28" t="str">
        <f t="shared" ca="1" si="1"/>
        <v>East</v>
      </c>
      <c r="D28" t="s">
        <v>14</v>
      </c>
      <c r="E28" t="s">
        <v>15</v>
      </c>
      <c r="F28">
        <f t="shared" ca="1" si="2"/>
        <v>1</v>
      </c>
      <c r="G28">
        <f t="shared" ca="1" si="3"/>
        <v>617.27</v>
      </c>
      <c r="H28">
        <f ca="1">Table3[[#This Row],[UnitPrice]]*Table3[[#This Row],[Quantity]]</f>
        <v>617.27</v>
      </c>
    </row>
    <row r="29" spans="1:8">
      <c r="A29">
        <f t="shared" si="4"/>
        <v>1028</v>
      </c>
      <c r="B29" s="2">
        <f t="shared" ca="1" si="0"/>
        <v>45409</v>
      </c>
      <c r="C29" t="str">
        <f t="shared" ca="1" si="1"/>
        <v>North</v>
      </c>
      <c r="D29" t="s">
        <v>17</v>
      </c>
      <c r="E29" t="s">
        <v>18</v>
      </c>
      <c r="F29">
        <f t="shared" ca="1" si="2"/>
        <v>9</v>
      </c>
      <c r="G29">
        <f t="shared" ca="1" si="3"/>
        <v>35.42</v>
      </c>
      <c r="H29">
        <f ca="1">Table3[[#This Row],[UnitPrice]]*Table3[[#This Row],[Quantity]]</f>
        <v>318.78000000000003</v>
      </c>
    </row>
    <row r="30" spans="1:8">
      <c r="A30">
        <f t="shared" si="4"/>
        <v>1029</v>
      </c>
      <c r="B30" s="2">
        <f t="shared" ca="1" si="0"/>
        <v>45351</v>
      </c>
      <c r="C30" t="str">
        <f t="shared" ca="1" si="1"/>
        <v>North</v>
      </c>
      <c r="D30" t="s">
        <v>8</v>
      </c>
      <c r="E30" t="s">
        <v>19</v>
      </c>
      <c r="F30">
        <f t="shared" ca="1" si="2"/>
        <v>1</v>
      </c>
      <c r="G30">
        <f t="shared" ca="1" si="3"/>
        <v>431.74</v>
      </c>
      <c r="H30">
        <f ca="1">Table3[[#This Row],[UnitPrice]]*Table3[[#This Row],[Quantity]]</f>
        <v>431.74</v>
      </c>
    </row>
    <row r="31" spans="1:8">
      <c r="A31">
        <f t="shared" si="4"/>
        <v>1030</v>
      </c>
      <c r="B31" s="2">
        <f t="shared" ca="1" si="0"/>
        <v>45497</v>
      </c>
      <c r="C31" t="str">
        <f t="shared" ca="1" si="1"/>
        <v>West</v>
      </c>
      <c r="D31" t="s">
        <v>11</v>
      </c>
      <c r="E31" t="s">
        <v>20</v>
      </c>
      <c r="F31">
        <f t="shared" ca="1" si="2"/>
        <v>2</v>
      </c>
      <c r="G31">
        <f t="shared" ca="1" si="3"/>
        <v>855.97</v>
      </c>
      <c r="H31">
        <f ca="1">Table3[[#This Row],[UnitPrice]]*Table3[[#This Row],[Quantity]]</f>
        <v>1711.94</v>
      </c>
    </row>
    <row r="32" spans="1:8">
      <c r="A32">
        <f t="shared" si="4"/>
        <v>1031</v>
      </c>
      <c r="B32" s="2">
        <f t="shared" ca="1" si="0"/>
        <v>45618</v>
      </c>
      <c r="C32" t="str">
        <f t="shared" ca="1" si="1"/>
        <v>West</v>
      </c>
      <c r="D32" t="s">
        <v>14</v>
      </c>
      <c r="E32" t="s">
        <v>21</v>
      </c>
      <c r="F32">
        <f t="shared" ca="1" si="2"/>
        <v>10</v>
      </c>
      <c r="G32">
        <f t="shared" ca="1" si="3"/>
        <v>417.92</v>
      </c>
      <c r="H32">
        <f ca="1">Table3[[#This Row],[UnitPrice]]*Table3[[#This Row],[Quantity]]</f>
        <v>4179.2</v>
      </c>
    </row>
    <row r="33" spans="1:8">
      <c r="A33">
        <f t="shared" si="4"/>
        <v>1032</v>
      </c>
      <c r="B33" s="2">
        <f t="shared" ca="1" si="0"/>
        <v>45495</v>
      </c>
      <c r="C33" t="str">
        <f t="shared" ca="1" si="1"/>
        <v>North</v>
      </c>
      <c r="D33" t="s">
        <v>17</v>
      </c>
      <c r="E33" t="s">
        <v>22</v>
      </c>
      <c r="F33">
        <f t="shared" ca="1" si="2"/>
        <v>2</v>
      </c>
      <c r="G33">
        <f t="shared" ca="1" si="3"/>
        <v>712.56</v>
      </c>
      <c r="H33">
        <f ca="1">Table3[[#This Row],[UnitPrice]]*Table3[[#This Row],[Quantity]]</f>
        <v>1425.12</v>
      </c>
    </row>
    <row r="34" spans="1:8">
      <c r="A34">
        <f t="shared" si="4"/>
        <v>1033</v>
      </c>
      <c r="B34" s="2">
        <f t="shared" ca="1" si="0"/>
        <v>45627</v>
      </c>
      <c r="C34" t="str">
        <f t="shared" ca="1" si="1"/>
        <v>East</v>
      </c>
      <c r="D34" t="s">
        <v>8</v>
      </c>
      <c r="E34" t="s">
        <v>23</v>
      </c>
      <c r="F34">
        <f t="shared" ca="1" si="2"/>
        <v>2</v>
      </c>
      <c r="G34">
        <f t="shared" ca="1" si="3"/>
        <v>569.63</v>
      </c>
      <c r="H34">
        <f ca="1">Table3[[#This Row],[UnitPrice]]*Table3[[#This Row],[Quantity]]</f>
        <v>1139.26</v>
      </c>
    </row>
    <row r="35" spans="1:8">
      <c r="A35">
        <f t="shared" si="4"/>
        <v>1034</v>
      </c>
      <c r="B35" s="2">
        <f t="shared" ca="1" si="0"/>
        <v>45365</v>
      </c>
      <c r="C35" t="str">
        <f t="shared" ca="1" si="1"/>
        <v>North</v>
      </c>
      <c r="D35" t="s">
        <v>11</v>
      </c>
      <c r="E35" t="s">
        <v>24</v>
      </c>
      <c r="F35">
        <f t="shared" ca="1" si="2"/>
        <v>7</v>
      </c>
      <c r="G35">
        <f t="shared" ca="1" si="3"/>
        <v>728.7</v>
      </c>
      <c r="H35">
        <f ca="1">Table3[[#This Row],[UnitPrice]]*Table3[[#This Row],[Quantity]]</f>
        <v>5100.9000000000005</v>
      </c>
    </row>
    <row r="36" spans="1:8">
      <c r="A36">
        <f t="shared" si="4"/>
        <v>1035</v>
      </c>
      <c r="B36" s="2">
        <f t="shared" ca="1" si="0"/>
        <v>45526</v>
      </c>
      <c r="C36" t="str">
        <f t="shared" ca="1" si="1"/>
        <v>North</v>
      </c>
      <c r="D36" t="s">
        <v>14</v>
      </c>
      <c r="E36" t="s">
        <v>25</v>
      </c>
      <c r="F36">
        <f t="shared" ca="1" si="2"/>
        <v>6</v>
      </c>
      <c r="G36">
        <f t="shared" ca="1" si="3"/>
        <v>228.86</v>
      </c>
      <c r="H36">
        <f ca="1">Table3[[#This Row],[UnitPrice]]*Table3[[#This Row],[Quantity]]</f>
        <v>1373.16</v>
      </c>
    </row>
    <row r="37" spans="1:8">
      <c r="A37">
        <f t="shared" si="4"/>
        <v>1036</v>
      </c>
      <c r="B37" s="2">
        <f t="shared" ca="1" si="0"/>
        <v>45527</v>
      </c>
      <c r="C37" t="str">
        <f t="shared" ca="1" si="1"/>
        <v>East</v>
      </c>
      <c r="D37" t="s">
        <v>17</v>
      </c>
      <c r="E37" t="s">
        <v>26</v>
      </c>
      <c r="F37">
        <f t="shared" ca="1" si="2"/>
        <v>10</v>
      </c>
      <c r="G37">
        <f t="shared" ca="1" si="3"/>
        <v>305.17</v>
      </c>
      <c r="H37">
        <f ca="1">Table3[[#This Row],[UnitPrice]]*Table3[[#This Row],[Quantity]]</f>
        <v>3051.7000000000003</v>
      </c>
    </row>
    <row r="38" spans="1:8">
      <c r="A38">
        <f t="shared" si="4"/>
        <v>1037</v>
      </c>
      <c r="B38" s="2">
        <f t="shared" ca="1" si="0"/>
        <v>45428</v>
      </c>
      <c r="C38" t="str">
        <f t="shared" ca="1" si="1"/>
        <v>South</v>
      </c>
      <c r="D38" t="s">
        <v>8</v>
      </c>
      <c r="E38" t="s">
        <v>9</v>
      </c>
      <c r="F38">
        <f t="shared" ca="1" si="2"/>
        <v>3</v>
      </c>
      <c r="G38">
        <f t="shared" ca="1" si="3"/>
        <v>645.16</v>
      </c>
      <c r="H38">
        <f ca="1">Table3[[#This Row],[UnitPrice]]*Table3[[#This Row],[Quantity]]</f>
        <v>1935.48</v>
      </c>
    </row>
    <row r="39" spans="1:8">
      <c r="A39">
        <f t="shared" si="4"/>
        <v>1038</v>
      </c>
      <c r="B39" s="2">
        <f t="shared" ca="1" si="0"/>
        <v>45432</v>
      </c>
      <c r="C39" t="str">
        <f t="shared" ca="1" si="1"/>
        <v>North</v>
      </c>
      <c r="D39" t="s">
        <v>11</v>
      </c>
      <c r="E39" t="s">
        <v>12</v>
      </c>
      <c r="F39">
        <f t="shared" ca="1" si="2"/>
        <v>9</v>
      </c>
      <c r="G39">
        <f t="shared" ca="1" si="3"/>
        <v>604.04999999999995</v>
      </c>
      <c r="H39">
        <f ca="1">Table3[[#This Row],[UnitPrice]]*Table3[[#This Row],[Quantity]]</f>
        <v>5436.45</v>
      </c>
    </row>
    <row r="40" spans="1:8">
      <c r="A40">
        <f t="shared" si="4"/>
        <v>1039</v>
      </c>
      <c r="B40" s="2">
        <f t="shared" ca="1" si="0"/>
        <v>45612</v>
      </c>
      <c r="C40" t="str">
        <f t="shared" ca="1" si="1"/>
        <v>South</v>
      </c>
      <c r="D40" t="s">
        <v>14</v>
      </c>
      <c r="E40" t="s">
        <v>15</v>
      </c>
      <c r="F40">
        <f t="shared" ca="1" si="2"/>
        <v>7</v>
      </c>
      <c r="G40">
        <f t="shared" ca="1" si="3"/>
        <v>656.96</v>
      </c>
      <c r="H40">
        <f ca="1">Table3[[#This Row],[UnitPrice]]*Table3[[#This Row],[Quantity]]</f>
        <v>4598.72</v>
      </c>
    </row>
    <row r="41" spans="1:8">
      <c r="A41">
        <f t="shared" si="4"/>
        <v>1040</v>
      </c>
      <c r="B41" s="2">
        <f t="shared" ca="1" si="0"/>
        <v>45389</v>
      </c>
      <c r="C41" t="str">
        <f t="shared" ca="1" si="1"/>
        <v>North</v>
      </c>
      <c r="D41" t="s">
        <v>17</v>
      </c>
      <c r="E41" t="s">
        <v>18</v>
      </c>
      <c r="F41">
        <f t="shared" ca="1" si="2"/>
        <v>8</v>
      </c>
      <c r="G41">
        <f t="shared" ca="1" si="3"/>
        <v>191.87</v>
      </c>
      <c r="H41">
        <f ca="1">Table3[[#This Row],[UnitPrice]]*Table3[[#This Row],[Quantity]]</f>
        <v>1534.96</v>
      </c>
    </row>
    <row r="42" spans="1:8">
      <c r="A42">
        <f t="shared" si="4"/>
        <v>1041</v>
      </c>
      <c r="B42" s="2">
        <f t="shared" ca="1" si="0"/>
        <v>45298</v>
      </c>
      <c r="C42" t="str">
        <f t="shared" ca="1" si="1"/>
        <v>West</v>
      </c>
      <c r="D42" t="s">
        <v>8</v>
      </c>
      <c r="E42" t="s">
        <v>19</v>
      </c>
      <c r="F42">
        <f t="shared" ca="1" si="2"/>
        <v>3</v>
      </c>
      <c r="G42">
        <f t="shared" ca="1" si="3"/>
        <v>443.29</v>
      </c>
      <c r="H42">
        <f ca="1">Table3[[#This Row],[UnitPrice]]*Table3[[#This Row],[Quantity]]</f>
        <v>1329.8700000000001</v>
      </c>
    </row>
    <row r="43" spans="1:8">
      <c r="A43">
        <f t="shared" si="4"/>
        <v>1042</v>
      </c>
      <c r="B43" s="2">
        <f t="shared" ca="1" si="0"/>
        <v>45639</v>
      </c>
      <c r="C43" t="str">
        <f t="shared" ca="1" si="1"/>
        <v>East</v>
      </c>
      <c r="D43" t="s">
        <v>11</v>
      </c>
      <c r="E43" t="s">
        <v>20</v>
      </c>
      <c r="F43">
        <f t="shared" ca="1" si="2"/>
        <v>3</v>
      </c>
      <c r="G43">
        <f t="shared" ca="1" si="3"/>
        <v>189.74</v>
      </c>
      <c r="H43">
        <f ca="1">Table3[[#This Row],[UnitPrice]]*Table3[[#This Row],[Quantity]]</f>
        <v>569.22</v>
      </c>
    </row>
    <row r="44" spans="1:8">
      <c r="A44">
        <f t="shared" si="4"/>
        <v>1043</v>
      </c>
      <c r="B44" s="2">
        <f t="shared" ca="1" si="0"/>
        <v>45596</v>
      </c>
      <c r="C44" t="str">
        <f t="shared" ca="1" si="1"/>
        <v>East</v>
      </c>
      <c r="D44" t="s">
        <v>14</v>
      </c>
      <c r="E44" t="s">
        <v>21</v>
      </c>
      <c r="F44">
        <f t="shared" ca="1" si="2"/>
        <v>6</v>
      </c>
      <c r="G44">
        <f t="shared" ca="1" si="3"/>
        <v>645.49</v>
      </c>
      <c r="H44">
        <f ca="1">Table3[[#This Row],[UnitPrice]]*Table3[[#This Row],[Quantity]]</f>
        <v>3872.94</v>
      </c>
    </row>
    <row r="45" spans="1:8">
      <c r="A45">
        <f t="shared" si="4"/>
        <v>1044</v>
      </c>
      <c r="B45" s="2">
        <f t="shared" ca="1" si="0"/>
        <v>45457</v>
      </c>
      <c r="C45" t="str">
        <f t="shared" ca="1" si="1"/>
        <v>South</v>
      </c>
      <c r="D45" t="s">
        <v>17</v>
      </c>
      <c r="E45" t="s">
        <v>22</v>
      </c>
      <c r="F45">
        <f t="shared" ca="1" si="2"/>
        <v>10</v>
      </c>
      <c r="G45">
        <f t="shared" ca="1" si="3"/>
        <v>840.34</v>
      </c>
      <c r="H45">
        <f ca="1">Table3[[#This Row],[UnitPrice]]*Table3[[#This Row],[Quantity]]</f>
        <v>8403.4</v>
      </c>
    </row>
    <row r="46" spans="1:8">
      <c r="A46">
        <f t="shared" si="4"/>
        <v>1045</v>
      </c>
      <c r="B46" s="2">
        <f t="shared" ca="1" si="0"/>
        <v>45563</v>
      </c>
      <c r="C46" t="str">
        <f t="shared" ca="1" si="1"/>
        <v>East</v>
      </c>
      <c r="D46" t="s">
        <v>8</v>
      </c>
      <c r="E46" t="s">
        <v>23</v>
      </c>
      <c r="F46">
        <f t="shared" ca="1" si="2"/>
        <v>1</v>
      </c>
      <c r="G46">
        <f t="shared" ca="1" si="3"/>
        <v>747.69</v>
      </c>
      <c r="H46">
        <f ca="1">Table3[[#This Row],[UnitPrice]]*Table3[[#This Row],[Quantity]]</f>
        <v>747.69</v>
      </c>
    </row>
    <row r="47" spans="1:8">
      <c r="A47">
        <f t="shared" si="4"/>
        <v>1046</v>
      </c>
      <c r="B47" s="2">
        <f t="shared" ca="1" si="0"/>
        <v>45365</v>
      </c>
      <c r="C47" t="str">
        <f t="shared" ca="1" si="1"/>
        <v>East</v>
      </c>
      <c r="D47" t="s">
        <v>11</v>
      </c>
      <c r="E47" t="s">
        <v>24</v>
      </c>
      <c r="F47">
        <f t="shared" ca="1" si="2"/>
        <v>2</v>
      </c>
      <c r="G47">
        <f t="shared" ca="1" si="3"/>
        <v>460.8</v>
      </c>
      <c r="H47">
        <f ca="1">Table3[[#This Row],[UnitPrice]]*Table3[[#This Row],[Quantity]]</f>
        <v>921.6</v>
      </c>
    </row>
    <row r="48" spans="1:8">
      <c r="A48">
        <f t="shared" si="4"/>
        <v>1047</v>
      </c>
      <c r="B48" s="2">
        <f t="shared" ca="1" si="0"/>
        <v>45446</v>
      </c>
      <c r="C48" t="str">
        <f t="shared" ca="1" si="1"/>
        <v>South</v>
      </c>
      <c r="D48" t="s">
        <v>14</v>
      </c>
      <c r="E48" t="s">
        <v>25</v>
      </c>
      <c r="F48">
        <f t="shared" ca="1" si="2"/>
        <v>9</v>
      </c>
      <c r="G48">
        <f t="shared" ca="1" si="3"/>
        <v>91.9</v>
      </c>
      <c r="H48">
        <f ca="1">Table3[[#This Row],[UnitPrice]]*Table3[[#This Row],[Quantity]]</f>
        <v>827.1</v>
      </c>
    </row>
    <row r="49" spans="1:8">
      <c r="A49">
        <f t="shared" si="4"/>
        <v>1048</v>
      </c>
      <c r="B49" s="2">
        <f t="shared" ca="1" si="0"/>
        <v>45433</v>
      </c>
      <c r="C49" t="str">
        <f t="shared" ca="1" si="1"/>
        <v>North</v>
      </c>
      <c r="D49" t="s">
        <v>17</v>
      </c>
      <c r="E49" t="s">
        <v>26</v>
      </c>
      <c r="F49">
        <f t="shared" ca="1" si="2"/>
        <v>9</v>
      </c>
      <c r="G49">
        <f t="shared" ca="1" si="3"/>
        <v>561.23</v>
      </c>
      <c r="H49">
        <f ca="1">Table3[[#This Row],[UnitPrice]]*Table3[[#This Row],[Quantity]]</f>
        <v>5051.07</v>
      </c>
    </row>
    <row r="50" spans="1:8">
      <c r="A50">
        <f t="shared" si="4"/>
        <v>1049</v>
      </c>
      <c r="B50" s="2">
        <f t="shared" ca="1" si="0"/>
        <v>45648</v>
      </c>
      <c r="C50" t="str">
        <f t="shared" ca="1" si="1"/>
        <v>West</v>
      </c>
      <c r="D50" t="s">
        <v>8</v>
      </c>
      <c r="E50" t="s">
        <v>9</v>
      </c>
      <c r="F50">
        <f t="shared" ca="1" si="2"/>
        <v>3</v>
      </c>
      <c r="G50">
        <f t="shared" ca="1" si="3"/>
        <v>729.09</v>
      </c>
      <c r="H50">
        <f ca="1">Table3[[#This Row],[UnitPrice]]*Table3[[#This Row],[Quantity]]</f>
        <v>2187.27</v>
      </c>
    </row>
    <row r="51" spans="1:8">
      <c r="A51">
        <f t="shared" si="4"/>
        <v>1050</v>
      </c>
      <c r="B51" s="2">
        <f t="shared" ca="1" si="0"/>
        <v>45419</v>
      </c>
      <c r="C51" t="str">
        <f t="shared" ca="1" si="1"/>
        <v>East</v>
      </c>
      <c r="D51" t="s">
        <v>11</v>
      </c>
      <c r="E51" t="s">
        <v>12</v>
      </c>
      <c r="F51">
        <f t="shared" ca="1" si="2"/>
        <v>2</v>
      </c>
      <c r="G51">
        <f t="shared" ca="1" si="3"/>
        <v>267.14</v>
      </c>
      <c r="H51">
        <f ca="1">Table3[[#This Row],[UnitPrice]]*Table3[[#This Row],[Quantity]]</f>
        <v>534.28</v>
      </c>
    </row>
    <row r="52" spans="1:8">
      <c r="A52">
        <f t="shared" si="4"/>
        <v>1051</v>
      </c>
      <c r="B52" s="2">
        <f t="shared" ca="1" si="0"/>
        <v>45607</v>
      </c>
      <c r="C52" t="str">
        <f t="shared" ca="1" si="1"/>
        <v>East</v>
      </c>
      <c r="D52" t="s">
        <v>14</v>
      </c>
      <c r="E52" t="s">
        <v>15</v>
      </c>
      <c r="F52">
        <f t="shared" ca="1" si="2"/>
        <v>7</v>
      </c>
      <c r="G52">
        <f t="shared" ca="1" si="3"/>
        <v>812.99</v>
      </c>
      <c r="H52">
        <f ca="1">Table3[[#This Row],[UnitPrice]]*Table3[[#This Row],[Quantity]]</f>
        <v>5690.93</v>
      </c>
    </row>
    <row r="53" spans="1:8">
      <c r="A53">
        <f t="shared" si="4"/>
        <v>1052</v>
      </c>
      <c r="B53" s="2">
        <f t="shared" ca="1" si="0"/>
        <v>45635</v>
      </c>
      <c r="C53" t="str">
        <f t="shared" ca="1" si="1"/>
        <v>North</v>
      </c>
      <c r="D53" t="s">
        <v>17</v>
      </c>
      <c r="E53" t="s">
        <v>18</v>
      </c>
      <c r="F53">
        <f t="shared" ca="1" si="2"/>
        <v>1</v>
      </c>
      <c r="G53">
        <f t="shared" ca="1" si="3"/>
        <v>391.32</v>
      </c>
      <c r="H53">
        <f ca="1">Table3[[#This Row],[UnitPrice]]*Table3[[#This Row],[Quantity]]</f>
        <v>391.32</v>
      </c>
    </row>
    <row r="54" spans="1:8">
      <c r="A54">
        <f t="shared" si="4"/>
        <v>1053</v>
      </c>
      <c r="B54" s="2">
        <f t="shared" ca="1" si="0"/>
        <v>45504</v>
      </c>
      <c r="C54" t="str">
        <f t="shared" ca="1" si="1"/>
        <v>North</v>
      </c>
      <c r="D54" t="s">
        <v>8</v>
      </c>
      <c r="E54" t="s">
        <v>19</v>
      </c>
      <c r="F54">
        <f t="shared" ca="1" si="2"/>
        <v>4</v>
      </c>
      <c r="G54">
        <f t="shared" ca="1" si="3"/>
        <v>51.54</v>
      </c>
      <c r="H54">
        <f ca="1">Table3[[#This Row],[UnitPrice]]*Table3[[#This Row],[Quantity]]</f>
        <v>206.16</v>
      </c>
    </row>
    <row r="55" spans="1:8">
      <c r="A55">
        <f t="shared" si="4"/>
        <v>1054</v>
      </c>
      <c r="B55" s="2">
        <f t="shared" ca="1" si="0"/>
        <v>45405</v>
      </c>
      <c r="C55" t="str">
        <f t="shared" ca="1" si="1"/>
        <v>West</v>
      </c>
      <c r="D55" t="s">
        <v>11</v>
      </c>
      <c r="E55" t="s">
        <v>20</v>
      </c>
      <c r="F55">
        <f t="shared" ca="1" si="2"/>
        <v>10</v>
      </c>
      <c r="G55">
        <f t="shared" ca="1" si="3"/>
        <v>282.89999999999998</v>
      </c>
      <c r="H55">
        <f ca="1">Table3[[#This Row],[UnitPrice]]*Table3[[#This Row],[Quantity]]</f>
        <v>2829</v>
      </c>
    </row>
    <row r="56" spans="1:8">
      <c r="A56">
        <f t="shared" si="4"/>
        <v>1055</v>
      </c>
      <c r="B56" s="2">
        <f t="shared" ca="1" si="0"/>
        <v>45558</v>
      </c>
      <c r="C56" t="str">
        <f t="shared" ca="1" si="1"/>
        <v>South</v>
      </c>
      <c r="D56" t="s">
        <v>14</v>
      </c>
      <c r="E56" t="s">
        <v>21</v>
      </c>
      <c r="F56">
        <f t="shared" ca="1" si="2"/>
        <v>1</v>
      </c>
      <c r="G56">
        <f t="shared" ca="1" si="3"/>
        <v>567.86</v>
      </c>
      <c r="H56">
        <f ca="1">Table3[[#This Row],[UnitPrice]]*Table3[[#This Row],[Quantity]]</f>
        <v>567.86</v>
      </c>
    </row>
    <row r="57" spans="1:8">
      <c r="A57">
        <f t="shared" si="4"/>
        <v>1056</v>
      </c>
      <c r="B57" s="2">
        <f t="shared" ca="1" si="0"/>
        <v>45449</v>
      </c>
      <c r="C57" t="str">
        <f t="shared" ca="1" si="1"/>
        <v>South</v>
      </c>
      <c r="D57" t="s">
        <v>17</v>
      </c>
      <c r="E57" t="s">
        <v>22</v>
      </c>
      <c r="F57">
        <f t="shared" ca="1" si="2"/>
        <v>5</v>
      </c>
      <c r="G57">
        <f t="shared" ca="1" si="3"/>
        <v>493.03</v>
      </c>
      <c r="H57">
        <f ca="1">Table3[[#This Row],[UnitPrice]]*Table3[[#This Row],[Quantity]]</f>
        <v>2465.1499999999996</v>
      </c>
    </row>
    <row r="58" spans="1:8">
      <c r="A58">
        <f t="shared" si="4"/>
        <v>1057</v>
      </c>
      <c r="B58" s="2">
        <f t="shared" ca="1" si="0"/>
        <v>45532</v>
      </c>
      <c r="C58" t="str">
        <f t="shared" ca="1" si="1"/>
        <v>North</v>
      </c>
      <c r="D58" t="s">
        <v>8</v>
      </c>
      <c r="E58" t="s">
        <v>23</v>
      </c>
      <c r="F58">
        <f t="shared" ca="1" si="2"/>
        <v>3</v>
      </c>
      <c r="G58">
        <f t="shared" ca="1" si="3"/>
        <v>556.24</v>
      </c>
      <c r="H58">
        <f ca="1">Table3[[#This Row],[UnitPrice]]*Table3[[#This Row],[Quantity]]</f>
        <v>1668.72</v>
      </c>
    </row>
    <row r="59" spans="1:8">
      <c r="A59">
        <f t="shared" si="4"/>
        <v>1058</v>
      </c>
      <c r="B59" s="2">
        <f t="shared" ca="1" si="0"/>
        <v>45532</v>
      </c>
      <c r="C59" t="str">
        <f t="shared" ca="1" si="1"/>
        <v>East</v>
      </c>
      <c r="D59" t="s">
        <v>11</v>
      </c>
      <c r="E59" t="s">
        <v>24</v>
      </c>
      <c r="F59">
        <f t="shared" ca="1" si="2"/>
        <v>2</v>
      </c>
      <c r="G59">
        <f t="shared" ca="1" si="3"/>
        <v>262.37</v>
      </c>
      <c r="H59">
        <f ca="1">Table3[[#This Row],[UnitPrice]]*Table3[[#This Row],[Quantity]]</f>
        <v>524.74</v>
      </c>
    </row>
    <row r="60" spans="1:8">
      <c r="A60">
        <f t="shared" si="4"/>
        <v>1059</v>
      </c>
      <c r="B60" s="2">
        <f t="shared" ca="1" si="0"/>
        <v>45399</v>
      </c>
      <c r="C60" t="str">
        <f t="shared" ca="1" si="1"/>
        <v>North</v>
      </c>
      <c r="D60" t="s">
        <v>14</v>
      </c>
      <c r="E60" t="s">
        <v>25</v>
      </c>
      <c r="F60">
        <f t="shared" ca="1" si="2"/>
        <v>4</v>
      </c>
      <c r="G60">
        <f t="shared" ca="1" si="3"/>
        <v>578.54999999999995</v>
      </c>
      <c r="H60">
        <f ca="1">Table3[[#This Row],[UnitPrice]]*Table3[[#This Row],[Quantity]]</f>
        <v>2314.1999999999998</v>
      </c>
    </row>
    <row r="61" spans="1:8">
      <c r="A61">
        <f t="shared" si="4"/>
        <v>1060</v>
      </c>
      <c r="B61" s="2">
        <f t="shared" ca="1" si="0"/>
        <v>45556</v>
      </c>
      <c r="C61" t="str">
        <f t="shared" ca="1" si="1"/>
        <v>East</v>
      </c>
      <c r="D61" t="s">
        <v>17</v>
      </c>
      <c r="E61" t="s">
        <v>26</v>
      </c>
      <c r="F61">
        <f t="shared" ca="1" si="2"/>
        <v>2</v>
      </c>
      <c r="G61">
        <f t="shared" ca="1" si="3"/>
        <v>250.03</v>
      </c>
      <c r="H61">
        <f ca="1">Table3[[#This Row],[UnitPrice]]*Table3[[#This Row],[Quantity]]</f>
        <v>500.06</v>
      </c>
    </row>
    <row r="62" spans="1:8">
      <c r="A62">
        <f t="shared" si="4"/>
        <v>1061</v>
      </c>
      <c r="B62" s="2">
        <f t="shared" ca="1" si="0"/>
        <v>45480</v>
      </c>
      <c r="C62" t="str">
        <f t="shared" ca="1" si="1"/>
        <v>West</v>
      </c>
      <c r="D62" t="s">
        <v>8</v>
      </c>
      <c r="E62" t="s">
        <v>9</v>
      </c>
      <c r="F62">
        <f t="shared" ca="1" si="2"/>
        <v>4</v>
      </c>
      <c r="G62">
        <f t="shared" ca="1" si="3"/>
        <v>754.69</v>
      </c>
      <c r="H62">
        <f ca="1">Table3[[#This Row],[UnitPrice]]*Table3[[#This Row],[Quantity]]</f>
        <v>3018.76</v>
      </c>
    </row>
    <row r="63" spans="1:8">
      <c r="A63">
        <f t="shared" si="4"/>
        <v>1062</v>
      </c>
      <c r="B63" s="2">
        <f t="shared" ca="1" si="0"/>
        <v>45543</v>
      </c>
      <c r="C63" t="str">
        <f t="shared" ca="1" si="1"/>
        <v>North</v>
      </c>
      <c r="D63" t="s">
        <v>11</v>
      </c>
      <c r="E63" t="s">
        <v>12</v>
      </c>
      <c r="F63">
        <f t="shared" ca="1" si="2"/>
        <v>10</v>
      </c>
      <c r="G63">
        <f t="shared" ca="1" si="3"/>
        <v>753.6</v>
      </c>
      <c r="H63">
        <f ca="1">Table3[[#This Row],[UnitPrice]]*Table3[[#This Row],[Quantity]]</f>
        <v>7536</v>
      </c>
    </row>
    <row r="64" spans="1:8">
      <c r="A64">
        <f t="shared" si="4"/>
        <v>1063</v>
      </c>
      <c r="B64" s="2">
        <f t="shared" ca="1" si="0"/>
        <v>45474</v>
      </c>
      <c r="C64" t="str">
        <f t="shared" ca="1" si="1"/>
        <v>South</v>
      </c>
      <c r="D64" t="s">
        <v>14</v>
      </c>
      <c r="E64" t="s">
        <v>15</v>
      </c>
      <c r="F64">
        <f t="shared" ca="1" si="2"/>
        <v>10</v>
      </c>
      <c r="G64">
        <f t="shared" ca="1" si="3"/>
        <v>298.97000000000003</v>
      </c>
      <c r="H64">
        <f ca="1">Table3[[#This Row],[UnitPrice]]*Table3[[#This Row],[Quantity]]</f>
        <v>2989.7000000000003</v>
      </c>
    </row>
    <row r="65" spans="1:8">
      <c r="A65">
        <f t="shared" si="4"/>
        <v>1064</v>
      </c>
      <c r="B65" s="2">
        <f t="shared" ca="1" si="0"/>
        <v>45481</v>
      </c>
      <c r="C65" t="str">
        <f t="shared" ca="1" si="1"/>
        <v>East</v>
      </c>
      <c r="D65" t="s">
        <v>17</v>
      </c>
      <c r="E65" t="s">
        <v>18</v>
      </c>
      <c r="F65">
        <f t="shared" ca="1" si="2"/>
        <v>7</v>
      </c>
      <c r="G65">
        <f t="shared" ca="1" si="3"/>
        <v>633.99</v>
      </c>
      <c r="H65">
        <f ca="1">Table3[[#This Row],[UnitPrice]]*Table3[[#This Row],[Quantity]]</f>
        <v>4437.93</v>
      </c>
    </row>
    <row r="66" spans="1:8">
      <c r="A66">
        <f t="shared" si="4"/>
        <v>1065</v>
      </c>
      <c r="B66" s="2">
        <f t="shared" ca="1" si="0"/>
        <v>45612</v>
      </c>
      <c r="C66" t="str">
        <f t="shared" ca="1" si="1"/>
        <v>East</v>
      </c>
      <c r="D66" t="s">
        <v>8</v>
      </c>
      <c r="E66" t="s">
        <v>19</v>
      </c>
      <c r="F66">
        <f t="shared" ca="1" si="2"/>
        <v>10</v>
      </c>
      <c r="G66">
        <f t="shared" ca="1" si="3"/>
        <v>985.54</v>
      </c>
      <c r="H66">
        <f ca="1">Table3[[#This Row],[UnitPrice]]*Table3[[#This Row],[Quantity]]</f>
        <v>9855.4</v>
      </c>
    </row>
    <row r="67" spans="1:8">
      <c r="A67">
        <f t="shared" si="4"/>
        <v>1066</v>
      </c>
      <c r="B67" s="2">
        <f t="shared" ref="B67:B130" ca="1" si="5">RANDBETWEEN(DATE(2024,1,1),DATE(2024,12,30))</f>
        <v>45535</v>
      </c>
      <c r="C67" t="str">
        <f t="shared" ref="C67:C130" ca="1" si="6">CHOOSE(RANDBETWEEN(1,4), "North", "South", "East", "West")</f>
        <v>South</v>
      </c>
      <c r="D67" t="s">
        <v>11</v>
      </c>
      <c r="E67" t="s">
        <v>20</v>
      </c>
      <c r="F67">
        <f t="shared" ref="F67:F130" ca="1" si="7">RANDBETWEEN(1,10)</f>
        <v>10</v>
      </c>
      <c r="G67">
        <f t="shared" ref="G67:G130" ca="1" si="8">ROUND(RANDBETWEEN(999,99999)/100,2)</f>
        <v>311.35000000000002</v>
      </c>
      <c r="H67">
        <f ca="1">Table3[[#This Row],[UnitPrice]]*Table3[[#This Row],[Quantity]]</f>
        <v>3113.5</v>
      </c>
    </row>
    <row r="68" spans="1:8">
      <c r="A68">
        <f t="shared" ref="A68:A131" si="9">A67+1</f>
        <v>1067</v>
      </c>
      <c r="B68" s="2">
        <f t="shared" ca="1" si="5"/>
        <v>45432</v>
      </c>
      <c r="C68" t="str">
        <f t="shared" ca="1" si="6"/>
        <v>West</v>
      </c>
      <c r="D68" t="s">
        <v>14</v>
      </c>
      <c r="E68" t="s">
        <v>21</v>
      </c>
      <c r="F68">
        <f t="shared" ca="1" si="7"/>
        <v>9</v>
      </c>
      <c r="G68">
        <f t="shared" ca="1" si="8"/>
        <v>832.71</v>
      </c>
      <c r="H68">
        <f ca="1">Table3[[#This Row],[UnitPrice]]*Table3[[#This Row],[Quantity]]</f>
        <v>7494.39</v>
      </c>
    </row>
    <row r="69" spans="1:8">
      <c r="A69">
        <f t="shared" si="9"/>
        <v>1068</v>
      </c>
      <c r="B69" s="2">
        <f t="shared" ca="1" si="5"/>
        <v>45555</v>
      </c>
      <c r="C69" t="str">
        <f t="shared" ca="1" si="6"/>
        <v>South</v>
      </c>
      <c r="D69" t="s">
        <v>17</v>
      </c>
      <c r="E69" t="s">
        <v>22</v>
      </c>
      <c r="F69">
        <f t="shared" ca="1" si="7"/>
        <v>10</v>
      </c>
      <c r="G69">
        <f t="shared" ca="1" si="8"/>
        <v>952.75</v>
      </c>
      <c r="H69">
        <f ca="1">Table3[[#This Row],[UnitPrice]]*Table3[[#This Row],[Quantity]]</f>
        <v>9527.5</v>
      </c>
    </row>
    <row r="70" spans="1:8">
      <c r="A70">
        <f t="shared" si="9"/>
        <v>1069</v>
      </c>
      <c r="B70" s="2">
        <f t="shared" ca="1" si="5"/>
        <v>45547</v>
      </c>
      <c r="C70" t="str">
        <f t="shared" ca="1" si="6"/>
        <v>West</v>
      </c>
      <c r="D70" t="s">
        <v>8</v>
      </c>
      <c r="E70" t="s">
        <v>23</v>
      </c>
      <c r="F70">
        <f t="shared" ca="1" si="7"/>
        <v>9</v>
      </c>
      <c r="G70">
        <f t="shared" ca="1" si="8"/>
        <v>63.43</v>
      </c>
      <c r="H70">
        <f ca="1">Table3[[#This Row],[UnitPrice]]*Table3[[#This Row],[Quantity]]</f>
        <v>570.87</v>
      </c>
    </row>
    <row r="71" spans="1:8">
      <c r="A71">
        <f t="shared" si="9"/>
        <v>1070</v>
      </c>
      <c r="B71" s="2">
        <f t="shared" ca="1" si="5"/>
        <v>45374</v>
      </c>
      <c r="C71" t="str">
        <f t="shared" ca="1" si="6"/>
        <v>East</v>
      </c>
      <c r="D71" t="s">
        <v>11</v>
      </c>
      <c r="E71" t="s">
        <v>24</v>
      </c>
      <c r="F71">
        <f t="shared" ca="1" si="7"/>
        <v>1</v>
      </c>
      <c r="G71">
        <f t="shared" ca="1" si="8"/>
        <v>294.73</v>
      </c>
      <c r="H71">
        <f ca="1">Table3[[#This Row],[UnitPrice]]*Table3[[#This Row],[Quantity]]</f>
        <v>294.73</v>
      </c>
    </row>
    <row r="72" spans="1:8">
      <c r="A72">
        <f t="shared" si="9"/>
        <v>1071</v>
      </c>
      <c r="B72" s="2">
        <f t="shared" ca="1" si="5"/>
        <v>45315</v>
      </c>
      <c r="C72" t="str">
        <f t="shared" ca="1" si="6"/>
        <v>North</v>
      </c>
      <c r="D72" t="s">
        <v>14</v>
      </c>
      <c r="E72" t="s">
        <v>25</v>
      </c>
      <c r="F72">
        <f t="shared" ca="1" si="7"/>
        <v>4</v>
      </c>
      <c r="G72">
        <f t="shared" ca="1" si="8"/>
        <v>91.68</v>
      </c>
      <c r="H72">
        <f ca="1">Table3[[#This Row],[UnitPrice]]*Table3[[#This Row],[Quantity]]</f>
        <v>366.72</v>
      </c>
    </row>
    <row r="73" spans="1:8">
      <c r="A73">
        <f t="shared" si="9"/>
        <v>1072</v>
      </c>
      <c r="B73" s="2">
        <f t="shared" ca="1" si="5"/>
        <v>45562</v>
      </c>
      <c r="C73" t="str">
        <f t="shared" ca="1" si="6"/>
        <v>South</v>
      </c>
      <c r="D73" t="s">
        <v>17</v>
      </c>
      <c r="E73" t="s">
        <v>26</v>
      </c>
      <c r="F73">
        <f t="shared" ca="1" si="7"/>
        <v>7</v>
      </c>
      <c r="G73">
        <f t="shared" ca="1" si="8"/>
        <v>832.83</v>
      </c>
      <c r="H73">
        <f ca="1">Table3[[#This Row],[UnitPrice]]*Table3[[#This Row],[Quantity]]</f>
        <v>5829.81</v>
      </c>
    </row>
    <row r="74" spans="1:8">
      <c r="A74">
        <f t="shared" si="9"/>
        <v>1073</v>
      </c>
      <c r="B74" s="2">
        <f t="shared" ca="1" si="5"/>
        <v>45632</v>
      </c>
      <c r="C74" t="str">
        <f t="shared" ca="1" si="6"/>
        <v>East</v>
      </c>
      <c r="D74" t="s">
        <v>8</v>
      </c>
      <c r="E74" t="s">
        <v>9</v>
      </c>
      <c r="F74">
        <f t="shared" ca="1" si="7"/>
        <v>5</v>
      </c>
      <c r="G74">
        <f t="shared" ca="1" si="8"/>
        <v>43.02</v>
      </c>
      <c r="H74">
        <f ca="1">Table3[[#This Row],[UnitPrice]]*Table3[[#This Row],[Quantity]]</f>
        <v>215.10000000000002</v>
      </c>
    </row>
    <row r="75" spans="1:8">
      <c r="A75">
        <f t="shared" si="9"/>
        <v>1074</v>
      </c>
      <c r="B75" s="2">
        <f t="shared" ca="1" si="5"/>
        <v>45582</v>
      </c>
      <c r="C75" t="str">
        <f t="shared" ca="1" si="6"/>
        <v>East</v>
      </c>
      <c r="D75" t="s">
        <v>11</v>
      </c>
      <c r="E75" t="s">
        <v>12</v>
      </c>
      <c r="F75">
        <f t="shared" ca="1" si="7"/>
        <v>7</v>
      </c>
      <c r="G75">
        <f t="shared" ca="1" si="8"/>
        <v>28.32</v>
      </c>
      <c r="H75">
        <f ca="1">Table3[[#This Row],[UnitPrice]]*Table3[[#This Row],[Quantity]]</f>
        <v>198.24</v>
      </c>
    </row>
    <row r="76" spans="1:8">
      <c r="A76">
        <f t="shared" si="9"/>
        <v>1075</v>
      </c>
      <c r="B76" s="2">
        <f t="shared" ca="1" si="5"/>
        <v>45594</v>
      </c>
      <c r="C76" t="str">
        <f t="shared" ca="1" si="6"/>
        <v>West</v>
      </c>
      <c r="D76" t="s">
        <v>14</v>
      </c>
      <c r="E76" t="s">
        <v>15</v>
      </c>
      <c r="F76">
        <f t="shared" ca="1" si="7"/>
        <v>9</v>
      </c>
      <c r="G76">
        <f t="shared" ca="1" si="8"/>
        <v>439.47</v>
      </c>
      <c r="H76">
        <f ca="1">Table3[[#This Row],[UnitPrice]]*Table3[[#This Row],[Quantity]]</f>
        <v>3955.2300000000005</v>
      </c>
    </row>
    <row r="77" spans="1:8">
      <c r="A77">
        <f t="shared" si="9"/>
        <v>1076</v>
      </c>
      <c r="B77" s="2">
        <f t="shared" ca="1" si="5"/>
        <v>45654</v>
      </c>
      <c r="C77" t="str">
        <f t="shared" ca="1" si="6"/>
        <v>East</v>
      </c>
      <c r="D77" t="s">
        <v>17</v>
      </c>
      <c r="E77" t="s">
        <v>18</v>
      </c>
      <c r="F77">
        <f t="shared" ca="1" si="7"/>
        <v>5</v>
      </c>
      <c r="G77">
        <f t="shared" ca="1" si="8"/>
        <v>892.51</v>
      </c>
      <c r="H77">
        <f ca="1">Table3[[#This Row],[UnitPrice]]*Table3[[#This Row],[Quantity]]</f>
        <v>4462.55</v>
      </c>
    </row>
    <row r="78" spans="1:8">
      <c r="A78">
        <f t="shared" si="9"/>
        <v>1077</v>
      </c>
      <c r="B78" s="2">
        <f t="shared" ca="1" si="5"/>
        <v>45443</v>
      </c>
      <c r="C78" t="str">
        <f t="shared" ca="1" si="6"/>
        <v>South</v>
      </c>
      <c r="D78" t="s">
        <v>8</v>
      </c>
      <c r="E78" t="s">
        <v>19</v>
      </c>
      <c r="F78">
        <f t="shared" ca="1" si="7"/>
        <v>7</v>
      </c>
      <c r="G78">
        <f t="shared" ca="1" si="8"/>
        <v>464.87</v>
      </c>
      <c r="H78">
        <f ca="1">Table3[[#This Row],[UnitPrice]]*Table3[[#This Row],[Quantity]]</f>
        <v>3254.09</v>
      </c>
    </row>
    <row r="79" spans="1:8">
      <c r="A79">
        <f t="shared" si="9"/>
        <v>1078</v>
      </c>
      <c r="B79" s="2">
        <f t="shared" ca="1" si="5"/>
        <v>45651</v>
      </c>
      <c r="C79" t="str">
        <f t="shared" ca="1" si="6"/>
        <v>West</v>
      </c>
      <c r="D79" t="s">
        <v>11</v>
      </c>
      <c r="E79" t="s">
        <v>20</v>
      </c>
      <c r="F79">
        <f t="shared" ca="1" si="7"/>
        <v>8</v>
      </c>
      <c r="G79">
        <f t="shared" ca="1" si="8"/>
        <v>873.23</v>
      </c>
      <c r="H79">
        <f ca="1">Table3[[#This Row],[UnitPrice]]*Table3[[#This Row],[Quantity]]</f>
        <v>6985.84</v>
      </c>
    </row>
    <row r="80" spans="1:8">
      <c r="A80">
        <f t="shared" si="9"/>
        <v>1079</v>
      </c>
      <c r="B80" s="2">
        <f t="shared" ca="1" si="5"/>
        <v>45561</v>
      </c>
      <c r="C80" t="str">
        <f t="shared" ca="1" si="6"/>
        <v>North</v>
      </c>
      <c r="D80" t="s">
        <v>14</v>
      </c>
      <c r="E80" t="s">
        <v>21</v>
      </c>
      <c r="F80">
        <f t="shared" ca="1" si="7"/>
        <v>7</v>
      </c>
      <c r="G80">
        <f t="shared" ca="1" si="8"/>
        <v>943.78</v>
      </c>
      <c r="H80">
        <f ca="1">Table3[[#This Row],[UnitPrice]]*Table3[[#This Row],[Quantity]]</f>
        <v>6606.46</v>
      </c>
    </row>
    <row r="81" spans="1:8">
      <c r="A81">
        <f t="shared" si="9"/>
        <v>1080</v>
      </c>
      <c r="B81" s="2">
        <f t="shared" ca="1" si="5"/>
        <v>45497</v>
      </c>
      <c r="C81" t="str">
        <f t="shared" ca="1" si="6"/>
        <v>East</v>
      </c>
      <c r="D81" t="s">
        <v>17</v>
      </c>
      <c r="E81" t="s">
        <v>22</v>
      </c>
      <c r="F81">
        <f t="shared" ca="1" si="7"/>
        <v>8</v>
      </c>
      <c r="G81">
        <f t="shared" ca="1" si="8"/>
        <v>51.1</v>
      </c>
      <c r="H81">
        <f ca="1">Table3[[#This Row],[UnitPrice]]*Table3[[#This Row],[Quantity]]</f>
        <v>408.8</v>
      </c>
    </row>
    <row r="82" spans="1:8">
      <c r="A82">
        <f t="shared" si="9"/>
        <v>1081</v>
      </c>
      <c r="B82" s="2">
        <f t="shared" ca="1" si="5"/>
        <v>45595</v>
      </c>
      <c r="C82" t="str">
        <f t="shared" ca="1" si="6"/>
        <v>East</v>
      </c>
      <c r="D82" t="s">
        <v>8</v>
      </c>
      <c r="E82" t="s">
        <v>23</v>
      </c>
      <c r="F82">
        <f t="shared" ca="1" si="7"/>
        <v>4</v>
      </c>
      <c r="G82">
        <f t="shared" ca="1" si="8"/>
        <v>382.04</v>
      </c>
      <c r="H82">
        <f ca="1">Table3[[#This Row],[UnitPrice]]*Table3[[#This Row],[Quantity]]</f>
        <v>1528.16</v>
      </c>
    </row>
    <row r="83" spans="1:8">
      <c r="A83">
        <f t="shared" si="9"/>
        <v>1082</v>
      </c>
      <c r="B83" s="2">
        <f t="shared" ca="1" si="5"/>
        <v>45544</v>
      </c>
      <c r="C83" t="str">
        <f t="shared" ca="1" si="6"/>
        <v>North</v>
      </c>
      <c r="D83" t="s">
        <v>11</v>
      </c>
      <c r="E83" t="s">
        <v>24</v>
      </c>
      <c r="F83">
        <f t="shared" ca="1" si="7"/>
        <v>5</v>
      </c>
      <c r="G83">
        <f t="shared" ca="1" si="8"/>
        <v>264.76</v>
      </c>
      <c r="H83">
        <f ca="1">Table3[[#This Row],[UnitPrice]]*Table3[[#This Row],[Quantity]]</f>
        <v>1323.8</v>
      </c>
    </row>
    <row r="84" spans="1:8">
      <c r="A84">
        <f t="shared" si="9"/>
        <v>1083</v>
      </c>
      <c r="B84" s="2">
        <f t="shared" ca="1" si="5"/>
        <v>45331</v>
      </c>
      <c r="C84" t="str">
        <f t="shared" ca="1" si="6"/>
        <v>East</v>
      </c>
      <c r="D84" t="s">
        <v>14</v>
      </c>
      <c r="E84" t="s">
        <v>25</v>
      </c>
      <c r="F84">
        <f t="shared" ca="1" si="7"/>
        <v>4</v>
      </c>
      <c r="G84">
        <f t="shared" ca="1" si="8"/>
        <v>775.63</v>
      </c>
      <c r="H84">
        <f ca="1">Table3[[#This Row],[UnitPrice]]*Table3[[#This Row],[Quantity]]</f>
        <v>3102.52</v>
      </c>
    </row>
    <row r="85" spans="1:8">
      <c r="A85">
        <f t="shared" si="9"/>
        <v>1084</v>
      </c>
      <c r="B85" s="2">
        <f t="shared" ca="1" si="5"/>
        <v>45428</v>
      </c>
      <c r="C85" t="str">
        <f t="shared" ca="1" si="6"/>
        <v>North</v>
      </c>
      <c r="D85" t="s">
        <v>17</v>
      </c>
      <c r="E85" t="s">
        <v>26</v>
      </c>
      <c r="F85">
        <f t="shared" ca="1" si="7"/>
        <v>3</v>
      </c>
      <c r="G85">
        <f t="shared" ca="1" si="8"/>
        <v>490.66</v>
      </c>
      <c r="H85">
        <f ca="1">Table3[[#This Row],[UnitPrice]]*Table3[[#This Row],[Quantity]]</f>
        <v>1471.98</v>
      </c>
    </row>
    <row r="86" spans="1:8">
      <c r="A86">
        <f t="shared" si="9"/>
        <v>1085</v>
      </c>
      <c r="B86" s="2">
        <f t="shared" ca="1" si="5"/>
        <v>45362</v>
      </c>
      <c r="C86" t="str">
        <f t="shared" ca="1" si="6"/>
        <v>West</v>
      </c>
      <c r="D86" t="s">
        <v>8</v>
      </c>
      <c r="E86" t="s">
        <v>9</v>
      </c>
      <c r="F86">
        <f t="shared" ca="1" si="7"/>
        <v>7</v>
      </c>
      <c r="G86">
        <f t="shared" ca="1" si="8"/>
        <v>121.46</v>
      </c>
      <c r="H86">
        <f ca="1">Table3[[#This Row],[UnitPrice]]*Table3[[#This Row],[Quantity]]</f>
        <v>850.21999999999991</v>
      </c>
    </row>
    <row r="87" spans="1:8">
      <c r="A87">
        <f t="shared" si="9"/>
        <v>1086</v>
      </c>
      <c r="B87" s="2">
        <f t="shared" ca="1" si="5"/>
        <v>45299</v>
      </c>
      <c r="C87" t="str">
        <f t="shared" ca="1" si="6"/>
        <v>East</v>
      </c>
      <c r="D87" t="s">
        <v>11</v>
      </c>
      <c r="E87" t="s">
        <v>12</v>
      </c>
      <c r="F87">
        <f t="shared" ca="1" si="7"/>
        <v>3</v>
      </c>
      <c r="G87">
        <f t="shared" ca="1" si="8"/>
        <v>372.48</v>
      </c>
      <c r="H87">
        <f ca="1">Table3[[#This Row],[UnitPrice]]*Table3[[#This Row],[Quantity]]</f>
        <v>1117.44</v>
      </c>
    </row>
    <row r="88" spans="1:8">
      <c r="A88">
        <f t="shared" si="9"/>
        <v>1087</v>
      </c>
      <c r="B88" s="2">
        <f t="shared" ca="1" si="5"/>
        <v>45562</v>
      </c>
      <c r="C88" t="str">
        <f t="shared" ca="1" si="6"/>
        <v>East</v>
      </c>
      <c r="D88" t="s">
        <v>14</v>
      </c>
      <c r="E88" t="s">
        <v>15</v>
      </c>
      <c r="F88">
        <f t="shared" ca="1" si="7"/>
        <v>10</v>
      </c>
      <c r="G88">
        <f t="shared" ca="1" si="8"/>
        <v>697.97</v>
      </c>
      <c r="H88">
        <f ca="1">Table3[[#This Row],[UnitPrice]]*Table3[[#This Row],[Quantity]]</f>
        <v>6979.7000000000007</v>
      </c>
    </row>
    <row r="89" spans="1:8">
      <c r="A89">
        <f t="shared" si="9"/>
        <v>1088</v>
      </c>
      <c r="B89" s="2">
        <f t="shared" ca="1" si="5"/>
        <v>45530</v>
      </c>
      <c r="C89" t="str">
        <f t="shared" ca="1" si="6"/>
        <v>South</v>
      </c>
      <c r="D89" t="s">
        <v>17</v>
      </c>
      <c r="E89" t="s">
        <v>18</v>
      </c>
      <c r="F89">
        <f t="shared" ca="1" si="7"/>
        <v>2</v>
      </c>
      <c r="G89">
        <f t="shared" ca="1" si="8"/>
        <v>769.84</v>
      </c>
      <c r="H89">
        <f ca="1">Table3[[#This Row],[UnitPrice]]*Table3[[#This Row],[Quantity]]</f>
        <v>1539.68</v>
      </c>
    </row>
    <row r="90" spans="1:8">
      <c r="A90">
        <f t="shared" si="9"/>
        <v>1089</v>
      </c>
      <c r="B90" s="2">
        <f t="shared" ca="1" si="5"/>
        <v>45569</v>
      </c>
      <c r="C90" t="str">
        <f t="shared" ca="1" si="6"/>
        <v>North</v>
      </c>
      <c r="D90" t="s">
        <v>8</v>
      </c>
      <c r="E90" t="s">
        <v>19</v>
      </c>
      <c r="F90">
        <f t="shared" ca="1" si="7"/>
        <v>3</v>
      </c>
      <c r="G90">
        <f t="shared" ca="1" si="8"/>
        <v>840.32</v>
      </c>
      <c r="H90">
        <f ca="1">Table3[[#This Row],[UnitPrice]]*Table3[[#This Row],[Quantity]]</f>
        <v>2520.96</v>
      </c>
    </row>
    <row r="91" spans="1:8">
      <c r="A91">
        <f t="shared" si="9"/>
        <v>1090</v>
      </c>
      <c r="B91" s="2">
        <f t="shared" ca="1" si="5"/>
        <v>45353</v>
      </c>
      <c r="C91" t="str">
        <f t="shared" ca="1" si="6"/>
        <v>East</v>
      </c>
      <c r="D91" t="s">
        <v>11</v>
      </c>
      <c r="E91" t="s">
        <v>20</v>
      </c>
      <c r="F91">
        <f t="shared" ca="1" si="7"/>
        <v>8</v>
      </c>
      <c r="G91">
        <f t="shared" ca="1" si="8"/>
        <v>868.96</v>
      </c>
      <c r="H91">
        <f ca="1">Table3[[#This Row],[UnitPrice]]*Table3[[#This Row],[Quantity]]</f>
        <v>6951.68</v>
      </c>
    </row>
    <row r="92" spans="1:8">
      <c r="A92">
        <f t="shared" si="9"/>
        <v>1091</v>
      </c>
      <c r="B92" s="2">
        <f t="shared" ca="1" si="5"/>
        <v>45420</v>
      </c>
      <c r="C92" t="str">
        <f t="shared" ca="1" si="6"/>
        <v>North</v>
      </c>
      <c r="D92" t="s">
        <v>14</v>
      </c>
      <c r="E92" t="s">
        <v>21</v>
      </c>
      <c r="F92">
        <f t="shared" ca="1" si="7"/>
        <v>1</v>
      </c>
      <c r="G92">
        <f t="shared" ca="1" si="8"/>
        <v>460.6</v>
      </c>
      <c r="H92">
        <f ca="1">Table3[[#This Row],[UnitPrice]]*Table3[[#This Row],[Quantity]]</f>
        <v>460.6</v>
      </c>
    </row>
    <row r="93" spans="1:8">
      <c r="A93">
        <f t="shared" si="9"/>
        <v>1092</v>
      </c>
      <c r="B93" s="2">
        <f t="shared" ca="1" si="5"/>
        <v>45645</v>
      </c>
      <c r="C93" t="str">
        <f t="shared" ca="1" si="6"/>
        <v>South</v>
      </c>
      <c r="D93" t="s">
        <v>17</v>
      </c>
      <c r="E93" t="s">
        <v>22</v>
      </c>
      <c r="F93">
        <f t="shared" ca="1" si="7"/>
        <v>9</v>
      </c>
      <c r="G93">
        <f t="shared" ca="1" si="8"/>
        <v>365.02</v>
      </c>
      <c r="H93">
        <f ca="1">Table3[[#This Row],[UnitPrice]]*Table3[[#This Row],[Quantity]]</f>
        <v>3285.18</v>
      </c>
    </row>
    <row r="94" spans="1:8">
      <c r="A94">
        <f t="shared" si="9"/>
        <v>1093</v>
      </c>
      <c r="B94" s="2">
        <f t="shared" ca="1" si="5"/>
        <v>45635</v>
      </c>
      <c r="C94" t="str">
        <f t="shared" ca="1" si="6"/>
        <v>South</v>
      </c>
      <c r="D94" t="s">
        <v>8</v>
      </c>
      <c r="E94" t="s">
        <v>23</v>
      </c>
      <c r="F94">
        <f t="shared" ca="1" si="7"/>
        <v>4</v>
      </c>
      <c r="G94">
        <f t="shared" ca="1" si="8"/>
        <v>216.72</v>
      </c>
      <c r="H94">
        <f ca="1">Table3[[#This Row],[UnitPrice]]*Table3[[#This Row],[Quantity]]</f>
        <v>866.88</v>
      </c>
    </row>
    <row r="95" spans="1:8">
      <c r="A95">
        <f t="shared" si="9"/>
        <v>1094</v>
      </c>
      <c r="B95" s="2">
        <f t="shared" ca="1" si="5"/>
        <v>45340</v>
      </c>
      <c r="C95" t="str">
        <f t="shared" ca="1" si="6"/>
        <v>South</v>
      </c>
      <c r="D95" t="s">
        <v>11</v>
      </c>
      <c r="E95" t="s">
        <v>24</v>
      </c>
      <c r="F95">
        <f t="shared" ca="1" si="7"/>
        <v>9</v>
      </c>
      <c r="G95">
        <f t="shared" ca="1" si="8"/>
        <v>916.89</v>
      </c>
      <c r="H95">
        <f ca="1">Table3[[#This Row],[UnitPrice]]*Table3[[#This Row],[Quantity]]</f>
        <v>8252.01</v>
      </c>
    </row>
    <row r="96" spans="1:8">
      <c r="A96">
        <f t="shared" si="9"/>
        <v>1095</v>
      </c>
      <c r="B96" s="2">
        <f t="shared" ca="1" si="5"/>
        <v>45294</v>
      </c>
      <c r="C96" t="str">
        <f t="shared" ca="1" si="6"/>
        <v>North</v>
      </c>
      <c r="D96" t="s">
        <v>14</v>
      </c>
      <c r="E96" t="s">
        <v>25</v>
      </c>
      <c r="F96">
        <f t="shared" ca="1" si="7"/>
        <v>8</v>
      </c>
      <c r="G96">
        <f t="shared" ca="1" si="8"/>
        <v>852.63</v>
      </c>
      <c r="H96">
        <f ca="1">Table3[[#This Row],[UnitPrice]]*Table3[[#This Row],[Quantity]]</f>
        <v>6821.04</v>
      </c>
    </row>
    <row r="97" spans="1:8">
      <c r="A97">
        <f t="shared" si="9"/>
        <v>1096</v>
      </c>
      <c r="B97" s="2">
        <f t="shared" ca="1" si="5"/>
        <v>45375</v>
      </c>
      <c r="C97" t="str">
        <f t="shared" ca="1" si="6"/>
        <v>East</v>
      </c>
      <c r="D97" t="s">
        <v>17</v>
      </c>
      <c r="E97" t="s">
        <v>26</v>
      </c>
      <c r="F97">
        <f t="shared" ca="1" si="7"/>
        <v>5</v>
      </c>
      <c r="G97">
        <f t="shared" ca="1" si="8"/>
        <v>871</v>
      </c>
      <c r="H97">
        <f ca="1">Table3[[#This Row],[UnitPrice]]*Table3[[#This Row],[Quantity]]</f>
        <v>4355</v>
      </c>
    </row>
    <row r="98" spans="1:8">
      <c r="A98">
        <f t="shared" si="9"/>
        <v>1097</v>
      </c>
      <c r="B98" s="2">
        <f t="shared" ca="1" si="5"/>
        <v>45429</v>
      </c>
      <c r="C98" t="str">
        <f t="shared" ca="1" si="6"/>
        <v>North</v>
      </c>
      <c r="D98" t="s">
        <v>8</v>
      </c>
      <c r="E98" t="s">
        <v>9</v>
      </c>
      <c r="F98">
        <f t="shared" ca="1" si="7"/>
        <v>8</v>
      </c>
      <c r="G98">
        <f t="shared" ca="1" si="8"/>
        <v>287.86</v>
      </c>
      <c r="H98">
        <f ca="1">Table3[[#This Row],[UnitPrice]]*Table3[[#This Row],[Quantity]]</f>
        <v>2302.88</v>
      </c>
    </row>
    <row r="99" spans="1:8">
      <c r="A99">
        <f t="shared" si="9"/>
        <v>1098</v>
      </c>
      <c r="B99" s="2">
        <f t="shared" ca="1" si="5"/>
        <v>45643</v>
      </c>
      <c r="C99" t="str">
        <f t="shared" ca="1" si="6"/>
        <v>South</v>
      </c>
      <c r="D99" t="s">
        <v>11</v>
      </c>
      <c r="E99" t="s">
        <v>12</v>
      </c>
      <c r="F99">
        <f t="shared" ca="1" si="7"/>
        <v>6</v>
      </c>
      <c r="G99">
        <f t="shared" ca="1" si="8"/>
        <v>853.39</v>
      </c>
      <c r="H99">
        <f ca="1">Table3[[#This Row],[UnitPrice]]*Table3[[#This Row],[Quantity]]</f>
        <v>5120.34</v>
      </c>
    </row>
    <row r="100" spans="1:8">
      <c r="A100">
        <f t="shared" si="9"/>
        <v>1099</v>
      </c>
      <c r="B100" s="2">
        <f t="shared" ca="1" si="5"/>
        <v>45523</v>
      </c>
      <c r="C100" t="str">
        <f t="shared" ca="1" si="6"/>
        <v>West</v>
      </c>
      <c r="D100" t="s">
        <v>14</v>
      </c>
      <c r="E100" t="s">
        <v>15</v>
      </c>
      <c r="F100">
        <f t="shared" ca="1" si="7"/>
        <v>5</v>
      </c>
      <c r="G100">
        <f t="shared" ca="1" si="8"/>
        <v>432.63</v>
      </c>
      <c r="H100">
        <f ca="1">Table3[[#This Row],[UnitPrice]]*Table3[[#This Row],[Quantity]]</f>
        <v>2163.15</v>
      </c>
    </row>
    <row r="101" spans="1:8">
      <c r="A101">
        <f t="shared" si="9"/>
        <v>1100</v>
      </c>
      <c r="B101" s="2">
        <f t="shared" ca="1" si="5"/>
        <v>45640</v>
      </c>
      <c r="C101" t="str">
        <f t="shared" ca="1" si="6"/>
        <v>North</v>
      </c>
      <c r="D101" t="s">
        <v>17</v>
      </c>
      <c r="E101" t="s">
        <v>18</v>
      </c>
      <c r="F101">
        <f t="shared" ca="1" si="7"/>
        <v>7</v>
      </c>
      <c r="G101">
        <f t="shared" ca="1" si="8"/>
        <v>644.88</v>
      </c>
      <c r="H101">
        <f ca="1">Table3[[#This Row],[UnitPrice]]*Table3[[#This Row],[Quantity]]</f>
        <v>4514.16</v>
      </c>
    </row>
    <row r="102" spans="1:8">
      <c r="A102">
        <f t="shared" si="9"/>
        <v>1101</v>
      </c>
      <c r="B102" s="2">
        <f t="shared" ca="1" si="5"/>
        <v>45647</v>
      </c>
      <c r="C102" t="str">
        <f t="shared" ca="1" si="6"/>
        <v>West</v>
      </c>
      <c r="D102" t="s">
        <v>8</v>
      </c>
      <c r="E102" t="s">
        <v>19</v>
      </c>
      <c r="F102">
        <f t="shared" ca="1" si="7"/>
        <v>6</v>
      </c>
      <c r="G102">
        <f t="shared" ca="1" si="8"/>
        <v>955.75</v>
      </c>
      <c r="H102">
        <f ca="1">Table3[[#This Row],[UnitPrice]]*Table3[[#This Row],[Quantity]]</f>
        <v>5734.5</v>
      </c>
    </row>
    <row r="103" spans="1:8">
      <c r="A103">
        <f t="shared" si="9"/>
        <v>1102</v>
      </c>
      <c r="B103" s="2">
        <f t="shared" ca="1" si="5"/>
        <v>45656</v>
      </c>
      <c r="C103" t="str">
        <f t="shared" ca="1" si="6"/>
        <v>South</v>
      </c>
      <c r="D103" t="s">
        <v>11</v>
      </c>
      <c r="E103" t="s">
        <v>20</v>
      </c>
      <c r="F103">
        <f t="shared" ca="1" si="7"/>
        <v>4</v>
      </c>
      <c r="G103">
        <f t="shared" ca="1" si="8"/>
        <v>14.2</v>
      </c>
      <c r="H103">
        <f ca="1">Table3[[#This Row],[UnitPrice]]*Table3[[#This Row],[Quantity]]</f>
        <v>56.8</v>
      </c>
    </row>
    <row r="104" spans="1:8">
      <c r="A104">
        <f t="shared" si="9"/>
        <v>1103</v>
      </c>
      <c r="B104" s="2">
        <f t="shared" ca="1" si="5"/>
        <v>45300</v>
      </c>
      <c r="C104" t="str">
        <f t="shared" ca="1" si="6"/>
        <v>West</v>
      </c>
      <c r="D104" t="s">
        <v>14</v>
      </c>
      <c r="E104" t="s">
        <v>21</v>
      </c>
      <c r="F104">
        <f t="shared" ca="1" si="7"/>
        <v>2</v>
      </c>
      <c r="G104">
        <f t="shared" ca="1" si="8"/>
        <v>44.73</v>
      </c>
      <c r="H104">
        <f ca="1">Table3[[#This Row],[UnitPrice]]*Table3[[#This Row],[Quantity]]</f>
        <v>89.46</v>
      </c>
    </row>
    <row r="105" spans="1:8">
      <c r="A105">
        <f t="shared" si="9"/>
        <v>1104</v>
      </c>
      <c r="B105" s="2">
        <f t="shared" ca="1" si="5"/>
        <v>45325</v>
      </c>
      <c r="C105" t="str">
        <f t="shared" ca="1" si="6"/>
        <v>East</v>
      </c>
      <c r="D105" t="s">
        <v>17</v>
      </c>
      <c r="E105" t="s">
        <v>22</v>
      </c>
      <c r="F105">
        <f t="shared" ca="1" si="7"/>
        <v>8</v>
      </c>
      <c r="G105">
        <f t="shared" ca="1" si="8"/>
        <v>879.67</v>
      </c>
      <c r="H105">
        <f ca="1">Table3[[#This Row],[UnitPrice]]*Table3[[#This Row],[Quantity]]</f>
        <v>7037.36</v>
      </c>
    </row>
    <row r="106" spans="1:8">
      <c r="A106">
        <f t="shared" si="9"/>
        <v>1105</v>
      </c>
      <c r="B106" s="2">
        <f t="shared" ca="1" si="5"/>
        <v>45386</v>
      </c>
      <c r="C106" t="str">
        <f t="shared" ca="1" si="6"/>
        <v>East</v>
      </c>
      <c r="D106" t="s">
        <v>8</v>
      </c>
      <c r="E106" t="s">
        <v>23</v>
      </c>
      <c r="F106">
        <f t="shared" ca="1" si="7"/>
        <v>5</v>
      </c>
      <c r="G106">
        <f t="shared" ca="1" si="8"/>
        <v>427.86</v>
      </c>
      <c r="H106">
        <f ca="1">Table3[[#This Row],[UnitPrice]]*Table3[[#This Row],[Quantity]]</f>
        <v>2139.3000000000002</v>
      </c>
    </row>
    <row r="107" spans="1:8">
      <c r="A107">
        <f t="shared" si="9"/>
        <v>1106</v>
      </c>
      <c r="B107" s="2">
        <f t="shared" ca="1" si="5"/>
        <v>45403</v>
      </c>
      <c r="C107" t="str">
        <f t="shared" ca="1" si="6"/>
        <v>West</v>
      </c>
      <c r="D107" t="s">
        <v>11</v>
      </c>
      <c r="E107" t="s">
        <v>24</v>
      </c>
      <c r="F107">
        <f t="shared" ca="1" si="7"/>
        <v>8</v>
      </c>
      <c r="G107">
        <f t="shared" ca="1" si="8"/>
        <v>541.75</v>
      </c>
      <c r="H107">
        <f ca="1">Table3[[#This Row],[UnitPrice]]*Table3[[#This Row],[Quantity]]</f>
        <v>4334</v>
      </c>
    </row>
    <row r="108" spans="1:8">
      <c r="A108">
        <f t="shared" si="9"/>
        <v>1107</v>
      </c>
      <c r="B108" s="2">
        <f t="shared" ca="1" si="5"/>
        <v>45417</v>
      </c>
      <c r="C108" t="str">
        <f t="shared" ca="1" si="6"/>
        <v>North</v>
      </c>
      <c r="D108" t="s">
        <v>14</v>
      </c>
      <c r="E108" t="s">
        <v>25</v>
      </c>
      <c r="F108">
        <f t="shared" ca="1" si="7"/>
        <v>3</v>
      </c>
      <c r="G108">
        <f t="shared" ca="1" si="8"/>
        <v>181.21</v>
      </c>
      <c r="H108">
        <f ca="1">Table3[[#This Row],[UnitPrice]]*Table3[[#This Row],[Quantity]]</f>
        <v>543.63</v>
      </c>
    </row>
    <row r="109" spans="1:8">
      <c r="A109">
        <f t="shared" si="9"/>
        <v>1108</v>
      </c>
      <c r="B109" s="2">
        <f t="shared" ca="1" si="5"/>
        <v>45497</v>
      </c>
      <c r="C109" t="str">
        <f t="shared" ca="1" si="6"/>
        <v>North</v>
      </c>
      <c r="D109" t="s">
        <v>17</v>
      </c>
      <c r="E109" t="s">
        <v>26</v>
      </c>
      <c r="F109">
        <f t="shared" ca="1" si="7"/>
        <v>2</v>
      </c>
      <c r="G109">
        <f t="shared" ca="1" si="8"/>
        <v>991.87</v>
      </c>
      <c r="H109">
        <f ca="1">Table3[[#This Row],[UnitPrice]]*Table3[[#This Row],[Quantity]]</f>
        <v>1983.74</v>
      </c>
    </row>
    <row r="110" spans="1:8">
      <c r="A110">
        <f t="shared" si="9"/>
        <v>1109</v>
      </c>
      <c r="B110" s="2">
        <f t="shared" ca="1" si="5"/>
        <v>45444</v>
      </c>
      <c r="C110" t="str">
        <f t="shared" ca="1" si="6"/>
        <v>East</v>
      </c>
      <c r="D110" t="s">
        <v>8</v>
      </c>
      <c r="E110" t="s">
        <v>9</v>
      </c>
      <c r="F110">
        <f t="shared" ca="1" si="7"/>
        <v>2</v>
      </c>
      <c r="G110">
        <f t="shared" ca="1" si="8"/>
        <v>279.68</v>
      </c>
      <c r="H110">
        <f ca="1">Table3[[#This Row],[UnitPrice]]*Table3[[#This Row],[Quantity]]</f>
        <v>559.36</v>
      </c>
    </row>
    <row r="111" spans="1:8">
      <c r="A111">
        <f t="shared" si="9"/>
        <v>1110</v>
      </c>
      <c r="B111" s="2">
        <f t="shared" ca="1" si="5"/>
        <v>45500</v>
      </c>
      <c r="C111" t="str">
        <f t="shared" ca="1" si="6"/>
        <v>North</v>
      </c>
      <c r="D111" t="s">
        <v>11</v>
      </c>
      <c r="E111" t="s">
        <v>12</v>
      </c>
      <c r="F111">
        <f t="shared" ca="1" si="7"/>
        <v>1</v>
      </c>
      <c r="G111">
        <f t="shared" ca="1" si="8"/>
        <v>159.59</v>
      </c>
      <c r="H111">
        <f ca="1">Table3[[#This Row],[UnitPrice]]*Table3[[#This Row],[Quantity]]</f>
        <v>159.59</v>
      </c>
    </row>
    <row r="112" spans="1:8">
      <c r="A112">
        <f t="shared" si="9"/>
        <v>1111</v>
      </c>
      <c r="B112" s="2">
        <f t="shared" ca="1" si="5"/>
        <v>45471</v>
      </c>
      <c r="C112" t="str">
        <f t="shared" ca="1" si="6"/>
        <v>East</v>
      </c>
      <c r="D112" t="s">
        <v>14</v>
      </c>
      <c r="E112" t="s">
        <v>15</v>
      </c>
      <c r="F112">
        <f t="shared" ca="1" si="7"/>
        <v>4</v>
      </c>
      <c r="G112">
        <f t="shared" ca="1" si="8"/>
        <v>904.41</v>
      </c>
      <c r="H112">
        <f ca="1">Table3[[#This Row],[UnitPrice]]*Table3[[#This Row],[Quantity]]</f>
        <v>3617.64</v>
      </c>
    </row>
    <row r="113" spans="1:8">
      <c r="A113">
        <f t="shared" si="9"/>
        <v>1112</v>
      </c>
      <c r="B113" s="2">
        <f t="shared" ca="1" si="5"/>
        <v>45407</v>
      </c>
      <c r="C113" t="str">
        <f t="shared" ca="1" si="6"/>
        <v>West</v>
      </c>
      <c r="D113" t="s">
        <v>17</v>
      </c>
      <c r="E113" t="s">
        <v>18</v>
      </c>
      <c r="F113">
        <f t="shared" ca="1" si="7"/>
        <v>7</v>
      </c>
      <c r="G113">
        <f t="shared" ca="1" si="8"/>
        <v>988.26</v>
      </c>
      <c r="H113">
        <f ca="1">Table3[[#This Row],[UnitPrice]]*Table3[[#This Row],[Quantity]]</f>
        <v>6917.82</v>
      </c>
    </row>
    <row r="114" spans="1:8">
      <c r="A114">
        <f t="shared" si="9"/>
        <v>1113</v>
      </c>
      <c r="B114" s="2">
        <f t="shared" ca="1" si="5"/>
        <v>45327</v>
      </c>
      <c r="C114" t="str">
        <f t="shared" ca="1" si="6"/>
        <v>East</v>
      </c>
      <c r="D114" t="s">
        <v>8</v>
      </c>
      <c r="E114" t="s">
        <v>19</v>
      </c>
      <c r="F114">
        <f t="shared" ca="1" si="7"/>
        <v>10</v>
      </c>
      <c r="G114">
        <f t="shared" ca="1" si="8"/>
        <v>993.82</v>
      </c>
      <c r="H114">
        <f ca="1">Table3[[#This Row],[UnitPrice]]*Table3[[#This Row],[Quantity]]</f>
        <v>9938.2000000000007</v>
      </c>
    </row>
    <row r="115" spans="1:8">
      <c r="A115">
        <f t="shared" si="9"/>
        <v>1114</v>
      </c>
      <c r="B115" s="2">
        <f t="shared" ca="1" si="5"/>
        <v>45420</v>
      </c>
      <c r="C115" t="str">
        <f t="shared" ca="1" si="6"/>
        <v>South</v>
      </c>
      <c r="D115" t="s">
        <v>11</v>
      </c>
      <c r="E115" t="s">
        <v>20</v>
      </c>
      <c r="F115">
        <f t="shared" ca="1" si="7"/>
        <v>5</v>
      </c>
      <c r="G115">
        <f t="shared" ca="1" si="8"/>
        <v>735.61</v>
      </c>
      <c r="H115">
        <f ca="1">Table3[[#This Row],[UnitPrice]]*Table3[[#This Row],[Quantity]]</f>
        <v>3678.05</v>
      </c>
    </row>
    <row r="116" spans="1:8">
      <c r="A116">
        <f t="shared" si="9"/>
        <v>1115</v>
      </c>
      <c r="B116" s="2">
        <f t="shared" ca="1" si="5"/>
        <v>45514</v>
      </c>
      <c r="C116" t="str">
        <f t="shared" ca="1" si="6"/>
        <v>West</v>
      </c>
      <c r="D116" t="s">
        <v>14</v>
      </c>
      <c r="E116" t="s">
        <v>21</v>
      </c>
      <c r="F116">
        <f t="shared" ca="1" si="7"/>
        <v>1</v>
      </c>
      <c r="G116">
        <f t="shared" ca="1" si="8"/>
        <v>824.22</v>
      </c>
      <c r="H116">
        <f ca="1">Table3[[#This Row],[UnitPrice]]*Table3[[#This Row],[Quantity]]</f>
        <v>824.22</v>
      </c>
    </row>
    <row r="117" spans="1:8">
      <c r="A117">
        <f t="shared" si="9"/>
        <v>1116</v>
      </c>
      <c r="B117" s="2">
        <f t="shared" ca="1" si="5"/>
        <v>45352</v>
      </c>
      <c r="C117" t="str">
        <f t="shared" ca="1" si="6"/>
        <v>West</v>
      </c>
      <c r="D117" t="s">
        <v>17</v>
      </c>
      <c r="E117" t="s">
        <v>22</v>
      </c>
      <c r="F117">
        <f t="shared" ca="1" si="7"/>
        <v>7</v>
      </c>
      <c r="G117">
        <f t="shared" ca="1" si="8"/>
        <v>281.04000000000002</v>
      </c>
      <c r="H117">
        <f ca="1">Table3[[#This Row],[UnitPrice]]*Table3[[#This Row],[Quantity]]</f>
        <v>1967.2800000000002</v>
      </c>
    </row>
    <row r="118" spans="1:8">
      <c r="A118">
        <f t="shared" si="9"/>
        <v>1117</v>
      </c>
      <c r="B118" s="2">
        <f t="shared" ca="1" si="5"/>
        <v>45415</v>
      </c>
      <c r="C118" t="str">
        <f t="shared" ca="1" si="6"/>
        <v>West</v>
      </c>
      <c r="D118" t="s">
        <v>8</v>
      </c>
      <c r="E118" t="s">
        <v>23</v>
      </c>
      <c r="F118">
        <f t="shared" ca="1" si="7"/>
        <v>10</v>
      </c>
      <c r="G118">
        <f t="shared" ca="1" si="8"/>
        <v>888.43</v>
      </c>
      <c r="H118">
        <f ca="1">Table3[[#This Row],[UnitPrice]]*Table3[[#This Row],[Quantity]]</f>
        <v>8884.2999999999993</v>
      </c>
    </row>
    <row r="119" spans="1:8">
      <c r="A119">
        <f t="shared" si="9"/>
        <v>1118</v>
      </c>
      <c r="B119" s="2">
        <f t="shared" ca="1" si="5"/>
        <v>45439</v>
      </c>
      <c r="C119" t="str">
        <f t="shared" ca="1" si="6"/>
        <v>North</v>
      </c>
      <c r="D119" t="s">
        <v>11</v>
      </c>
      <c r="E119" t="s">
        <v>24</v>
      </c>
      <c r="F119">
        <f t="shared" ca="1" si="7"/>
        <v>10</v>
      </c>
      <c r="G119">
        <f t="shared" ca="1" si="8"/>
        <v>339.85</v>
      </c>
      <c r="H119">
        <f ca="1">Table3[[#This Row],[UnitPrice]]*Table3[[#This Row],[Quantity]]</f>
        <v>3398.5</v>
      </c>
    </row>
    <row r="120" spans="1:8">
      <c r="A120">
        <f t="shared" si="9"/>
        <v>1119</v>
      </c>
      <c r="B120" s="2">
        <f t="shared" ca="1" si="5"/>
        <v>45489</v>
      </c>
      <c r="C120" t="str">
        <f t="shared" ca="1" si="6"/>
        <v>North</v>
      </c>
      <c r="D120" t="s">
        <v>14</v>
      </c>
      <c r="E120" t="s">
        <v>25</v>
      </c>
      <c r="F120">
        <f t="shared" ca="1" si="7"/>
        <v>9</v>
      </c>
      <c r="G120">
        <f t="shared" ca="1" si="8"/>
        <v>853.75</v>
      </c>
      <c r="H120">
        <f ca="1">Table3[[#This Row],[UnitPrice]]*Table3[[#This Row],[Quantity]]</f>
        <v>7683.75</v>
      </c>
    </row>
    <row r="121" spans="1:8">
      <c r="A121">
        <f t="shared" si="9"/>
        <v>1120</v>
      </c>
      <c r="B121" s="2">
        <f t="shared" ca="1" si="5"/>
        <v>45589</v>
      </c>
      <c r="C121" t="str">
        <f t="shared" ca="1" si="6"/>
        <v>West</v>
      </c>
      <c r="D121" t="s">
        <v>17</v>
      </c>
      <c r="E121" t="s">
        <v>26</v>
      </c>
      <c r="F121">
        <f t="shared" ca="1" si="7"/>
        <v>8</v>
      </c>
      <c r="G121">
        <f t="shared" ca="1" si="8"/>
        <v>33.08</v>
      </c>
      <c r="H121">
        <f ca="1">Table3[[#This Row],[UnitPrice]]*Table3[[#This Row],[Quantity]]</f>
        <v>264.64</v>
      </c>
    </row>
    <row r="122" spans="1:8">
      <c r="A122">
        <f t="shared" si="9"/>
        <v>1121</v>
      </c>
      <c r="B122" s="2">
        <f t="shared" ca="1" si="5"/>
        <v>45510</v>
      </c>
      <c r="C122" t="str">
        <f t="shared" ca="1" si="6"/>
        <v>South</v>
      </c>
      <c r="D122" t="s">
        <v>8</v>
      </c>
      <c r="E122" t="s">
        <v>9</v>
      </c>
      <c r="F122">
        <f t="shared" ca="1" si="7"/>
        <v>4</v>
      </c>
      <c r="G122">
        <f t="shared" ca="1" si="8"/>
        <v>395.96</v>
      </c>
      <c r="H122">
        <f ca="1">Table3[[#This Row],[UnitPrice]]*Table3[[#This Row],[Quantity]]</f>
        <v>1583.84</v>
      </c>
    </row>
    <row r="123" spans="1:8">
      <c r="A123">
        <f t="shared" si="9"/>
        <v>1122</v>
      </c>
      <c r="B123" s="2">
        <f t="shared" ca="1" si="5"/>
        <v>45631</v>
      </c>
      <c r="C123" t="str">
        <f t="shared" ca="1" si="6"/>
        <v>South</v>
      </c>
      <c r="D123" t="s">
        <v>11</v>
      </c>
      <c r="E123" t="s">
        <v>12</v>
      </c>
      <c r="F123">
        <f t="shared" ca="1" si="7"/>
        <v>4</v>
      </c>
      <c r="G123">
        <f t="shared" ca="1" si="8"/>
        <v>146.6</v>
      </c>
      <c r="H123">
        <f ca="1">Table3[[#This Row],[UnitPrice]]*Table3[[#This Row],[Quantity]]</f>
        <v>586.4</v>
      </c>
    </row>
    <row r="124" spans="1:8">
      <c r="A124">
        <f t="shared" si="9"/>
        <v>1123</v>
      </c>
      <c r="B124" s="2">
        <f t="shared" ca="1" si="5"/>
        <v>45480</v>
      </c>
      <c r="C124" t="str">
        <f t="shared" ca="1" si="6"/>
        <v>South</v>
      </c>
      <c r="D124" t="s">
        <v>14</v>
      </c>
      <c r="E124" t="s">
        <v>15</v>
      </c>
      <c r="F124">
        <f t="shared" ca="1" si="7"/>
        <v>8</v>
      </c>
      <c r="G124">
        <f t="shared" ca="1" si="8"/>
        <v>194.92</v>
      </c>
      <c r="H124">
        <f ca="1">Table3[[#This Row],[UnitPrice]]*Table3[[#This Row],[Quantity]]</f>
        <v>1559.36</v>
      </c>
    </row>
    <row r="125" spans="1:8">
      <c r="A125">
        <f t="shared" si="9"/>
        <v>1124</v>
      </c>
      <c r="B125" s="2">
        <f t="shared" ca="1" si="5"/>
        <v>45413</v>
      </c>
      <c r="C125" t="str">
        <f t="shared" ca="1" si="6"/>
        <v>East</v>
      </c>
      <c r="D125" t="s">
        <v>17</v>
      </c>
      <c r="E125" t="s">
        <v>18</v>
      </c>
      <c r="F125">
        <f t="shared" ca="1" si="7"/>
        <v>1</v>
      </c>
      <c r="G125">
        <f t="shared" ca="1" si="8"/>
        <v>585.36</v>
      </c>
      <c r="H125">
        <f ca="1">Table3[[#This Row],[UnitPrice]]*Table3[[#This Row],[Quantity]]</f>
        <v>585.36</v>
      </c>
    </row>
    <row r="126" spans="1:8">
      <c r="A126">
        <f t="shared" si="9"/>
        <v>1125</v>
      </c>
      <c r="B126" s="2">
        <f t="shared" ca="1" si="5"/>
        <v>45532</v>
      </c>
      <c r="C126" t="str">
        <f t="shared" ca="1" si="6"/>
        <v>East</v>
      </c>
      <c r="D126" t="s">
        <v>8</v>
      </c>
      <c r="E126" t="s">
        <v>19</v>
      </c>
      <c r="F126">
        <f t="shared" ca="1" si="7"/>
        <v>6</v>
      </c>
      <c r="G126">
        <f t="shared" ca="1" si="8"/>
        <v>118.01</v>
      </c>
      <c r="H126">
        <f ca="1">Table3[[#This Row],[UnitPrice]]*Table3[[#This Row],[Quantity]]</f>
        <v>708.06000000000006</v>
      </c>
    </row>
    <row r="127" spans="1:8">
      <c r="A127">
        <f t="shared" si="9"/>
        <v>1126</v>
      </c>
      <c r="B127" s="2">
        <f t="shared" ca="1" si="5"/>
        <v>45543</v>
      </c>
      <c r="C127" t="str">
        <f t="shared" ca="1" si="6"/>
        <v>West</v>
      </c>
      <c r="D127" t="s">
        <v>11</v>
      </c>
      <c r="E127" t="s">
        <v>20</v>
      </c>
      <c r="F127">
        <f t="shared" ca="1" si="7"/>
        <v>2</v>
      </c>
      <c r="G127">
        <f t="shared" ca="1" si="8"/>
        <v>103.16</v>
      </c>
      <c r="H127">
        <f ca="1">Table3[[#This Row],[UnitPrice]]*Table3[[#This Row],[Quantity]]</f>
        <v>206.32</v>
      </c>
    </row>
    <row r="128" spans="1:8">
      <c r="A128">
        <f t="shared" si="9"/>
        <v>1127</v>
      </c>
      <c r="B128" s="2">
        <f t="shared" ca="1" si="5"/>
        <v>45448</v>
      </c>
      <c r="C128" t="str">
        <f t="shared" ca="1" si="6"/>
        <v>South</v>
      </c>
      <c r="D128" t="s">
        <v>14</v>
      </c>
      <c r="E128" t="s">
        <v>21</v>
      </c>
      <c r="F128">
        <f t="shared" ca="1" si="7"/>
        <v>8</v>
      </c>
      <c r="G128">
        <f t="shared" ca="1" si="8"/>
        <v>781.49</v>
      </c>
      <c r="H128">
        <f ca="1">Table3[[#This Row],[UnitPrice]]*Table3[[#This Row],[Quantity]]</f>
        <v>6251.92</v>
      </c>
    </row>
    <row r="129" spans="1:8">
      <c r="A129">
        <f t="shared" si="9"/>
        <v>1128</v>
      </c>
      <c r="B129" s="2">
        <f t="shared" ca="1" si="5"/>
        <v>45473</v>
      </c>
      <c r="C129" t="str">
        <f t="shared" ca="1" si="6"/>
        <v>East</v>
      </c>
      <c r="D129" t="s">
        <v>17</v>
      </c>
      <c r="E129" t="s">
        <v>22</v>
      </c>
      <c r="F129">
        <f t="shared" ca="1" si="7"/>
        <v>3</v>
      </c>
      <c r="G129">
        <f t="shared" ca="1" si="8"/>
        <v>157.96</v>
      </c>
      <c r="H129">
        <f ca="1">Table3[[#This Row],[UnitPrice]]*Table3[[#This Row],[Quantity]]</f>
        <v>473.88</v>
      </c>
    </row>
    <row r="130" spans="1:8">
      <c r="A130">
        <f t="shared" si="9"/>
        <v>1129</v>
      </c>
      <c r="B130" s="2">
        <f t="shared" ca="1" si="5"/>
        <v>45528</v>
      </c>
      <c r="C130" t="str">
        <f t="shared" ca="1" si="6"/>
        <v>South</v>
      </c>
      <c r="D130" t="s">
        <v>8</v>
      </c>
      <c r="E130" t="s">
        <v>23</v>
      </c>
      <c r="F130">
        <f t="shared" ca="1" si="7"/>
        <v>8</v>
      </c>
      <c r="G130">
        <f t="shared" ca="1" si="8"/>
        <v>275.48</v>
      </c>
      <c r="H130">
        <f ca="1">Table3[[#This Row],[UnitPrice]]*Table3[[#This Row],[Quantity]]</f>
        <v>2203.84</v>
      </c>
    </row>
    <row r="131" spans="1:8">
      <c r="A131">
        <f t="shared" si="9"/>
        <v>1130</v>
      </c>
      <c r="B131" s="2">
        <f t="shared" ref="B131:B151" ca="1" si="10">RANDBETWEEN(DATE(2024,1,1),DATE(2024,12,30))</f>
        <v>45624</v>
      </c>
      <c r="C131" t="str">
        <f t="shared" ref="C131:C151" ca="1" si="11">CHOOSE(RANDBETWEEN(1,4), "North", "South", "East", "West")</f>
        <v>East</v>
      </c>
      <c r="D131" t="s">
        <v>11</v>
      </c>
      <c r="E131" t="s">
        <v>24</v>
      </c>
      <c r="F131">
        <f t="shared" ref="F131:F151" ca="1" si="12">RANDBETWEEN(1,10)</f>
        <v>3</v>
      </c>
      <c r="G131">
        <f t="shared" ref="G131:G151" ca="1" si="13">ROUND(RANDBETWEEN(999,99999)/100,2)</f>
        <v>504.15</v>
      </c>
      <c r="H131">
        <f ca="1">Table3[[#This Row],[UnitPrice]]*Table3[[#This Row],[Quantity]]</f>
        <v>1512.4499999999998</v>
      </c>
    </row>
    <row r="132" spans="1:8">
      <c r="A132">
        <f t="shared" ref="A132:A150" si="14">A131+1</f>
        <v>1131</v>
      </c>
      <c r="B132" s="2">
        <f t="shared" ca="1" si="10"/>
        <v>45439</v>
      </c>
      <c r="C132" t="str">
        <f t="shared" ca="1" si="11"/>
        <v>West</v>
      </c>
      <c r="D132" t="s">
        <v>14</v>
      </c>
      <c r="E132" t="s">
        <v>25</v>
      </c>
      <c r="F132">
        <f t="shared" ca="1" si="12"/>
        <v>8</v>
      </c>
      <c r="G132">
        <f t="shared" ca="1" si="13"/>
        <v>47.58</v>
      </c>
      <c r="H132">
        <f ca="1">Table3[[#This Row],[UnitPrice]]*Table3[[#This Row],[Quantity]]</f>
        <v>380.64</v>
      </c>
    </row>
    <row r="133" spans="1:8">
      <c r="A133">
        <f t="shared" si="14"/>
        <v>1132</v>
      </c>
      <c r="B133" s="2">
        <f t="shared" ca="1" si="10"/>
        <v>45523</v>
      </c>
      <c r="C133" t="str">
        <f t="shared" ca="1" si="11"/>
        <v>West</v>
      </c>
      <c r="D133" t="s">
        <v>17</v>
      </c>
      <c r="E133" t="s">
        <v>26</v>
      </c>
      <c r="F133">
        <f t="shared" ca="1" si="12"/>
        <v>9</v>
      </c>
      <c r="G133">
        <f t="shared" ca="1" si="13"/>
        <v>117.15</v>
      </c>
      <c r="H133">
        <f ca="1">Table3[[#This Row],[UnitPrice]]*Table3[[#This Row],[Quantity]]</f>
        <v>1054.3500000000001</v>
      </c>
    </row>
    <row r="134" spans="1:8">
      <c r="A134">
        <f t="shared" si="14"/>
        <v>1133</v>
      </c>
      <c r="B134" s="2">
        <f t="shared" ca="1" si="10"/>
        <v>45515</v>
      </c>
      <c r="C134" t="str">
        <f t="shared" ca="1" si="11"/>
        <v>North</v>
      </c>
      <c r="D134" t="s">
        <v>8</v>
      </c>
      <c r="E134" t="s">
        <v>9</v>
      </c>
      <c r="F134">
        <f t="shared" ca="1" si="12"/>
        <v>2</v>
      </c>
      <c r="G134">
        <f t="shared" ca="1" si="13"/>
        <v>664.7</v>
      </c>
      <c r="H134">
        <f ca="1">Table3[[#This Row],[UnitPrice]]*Table3[[#This Row],[Quantity]]</f>
        <v>1329.4</v>
      </c>
    </row>
    <row r="135" spans="1:8">
      <c r="A135">
        <f t="shared" si="14"/>
        <v>1134</v>
      </c>
      <c r="B135" s="2">
        <f t="shared" ca="1" si="10"/>
        <v>45576</v>
      </c>
      <c r="C135" t="str">
        <f t="shared" ca="1" si="11"/>
        <v>North</v>
      </c>
      <c r="D135" t="s">
        <v>11</v>
      </c>
      <c r="E135" t="s">
        <v>12</v>
      </c>
      <c r="F135">
        <f t="shared" ca="1" si="12"/>
        <v>7</v>
      </c>
      <c r="G135">
        <f t="shared" ca="1" si="13"/>
        <v>886.52</v>
      </c>
      <c r="H135">
        <f ca="1">Table3[[#This Row],[UnitPrice]]*Table3[[#This Row],[Quantity]]</f>
        <v>6205.6399999999994</v>
      </c>
    </row>
    <row r="136" spans="1:8">
      <c r="A136">
        <f t="shared" si="14"/>
        <v>1135</v>
      </c>
      <c r="B136" s="2">
        <f t="shared" ca="1" si="10"/>
        <v>45364</v>
      </c>
      <c r="C136" t="str">
        <f t="shared" ca="1" si="11"/>
        <v>East</v>
      </c>
      <c r="D136" t="s">
        <v>14</v>
      </c>
      <c r="E136" t="s">
        <v>15</v>
      </c>
      <c r="F136">
        <f t="shared" ca="1" si="12"/>
        <v>9</v>
      </c>
      <c r="G136">
        <f t="shared" ca="1" si="13"/>
        <v>792.65</v>
      </c>
      <c r="H136">
        <f ca="1">Table3[[#This Row],[UnitPrice]]*Table3[[#This Row],[Quantity]]</f>
        <v>7133.8499999999995</v>
      </c>
    </row>
    <row r="137" spans="1:8">
      <c r="A137">
        <f t="shared" si="14"/>
        <v>1136</v>
      </c>
      <c r="B137" s="2">
        <f t="shared" ca="1" si="10"/>
        <v>45566</v>
      </c>
      <c r="C137" t="str">
        <f t="shared" ca="1" si="11"/>
        <v>North</v>
      </c>
      <c r="D137" t="s">
        <v>17</v>
      </c>
      <c r="E137" t="s">
        <v>18</v>
      </c>
      <c r="F137">
        <f t="shared" ca="1" si="12"/>
        <v>8</v>
      </c>
      <c r="G137">
        <f t="shared" ca="1" si="13"/>
        <v>141.35</v>
      </c>
      <c r="H137">
        <f ca="1">Table3[[#This Row],[UnitPrice]]*Table3[[#This Row],[Quantity]]</f>
        <v>1130.8</v>
      </c>
    </row>
    <row r="138" spans="1:8">
      <c r="A138">
        <f t="shared" si="14"/>
        <v>1137</v>
      </c>
      <c r="B138" s="2">
        <f t="shared" ca="1" si="10"/>
        <v>45529</v>
      </c>
      <c r="C138" t="str">
        <f t="shared" ca="1" si="11"/>
        <v>West</v>
      </c>
      <c r="D138" t="s">
        <v>8</v>
      </c>
      <c r="E138" t="s">
        <v>19</v>
      </c>
      <c r="F138">
        <f t="shared" ca="1" si="12"/>
        <v>4</v>
      </c>
      <c r="G138">
        <f t="shared" ca="1" si="13"/>
        <v>593.94000000000005</v>
      </c>
      <c r="H138">
        <f ca="1">Table3[[#This Row],[UnitPrice]]*Table3[[#This Row],[Quantity]]</f>
        <v>2375.7600000000002</v>
      </c>
    </row>
    <row r="139" spans="1:8">
      <c r="A139">
        <f t="shared" si="14"/>
        <v>1138</v>
      </c>
      <c r="B139" s="2">
        <f t="shared" ca="1" si="10"/>
        <v>45611</v>
      </c>
      <c r="C139" t="str">
        <f t="shared" ca="1" si="11"/>
        <v>West</v>
      </c>
      <c r="D139" t="s">
        <v>11</v>
      </c>
      <c r="E139" t="s">
        <v>20</v>
      </c>
      <c r="F139">
        <f t="shared" ca="1" si="12"/>
        <v>2</v>
      </c>
      <c r="G139">
        <f t="shared" ca="1" si="13"/>
        <v>98.22</v>
      </c>
      <c r="H139">
        <f ca="1">Table3[[#This Row],[UnitPrice]]*Table3[[#This Row],[Quantity]]</f>
        <v>196.44</v>
      </c>
    </row>
    <row r="140" spans="1:8">
      <c r="A140">
        <f t="shared" si="14"/>
        <v>1139</v>
      </c>
      <c r="B140" s="2">
        <f t="shared" ca="1" si="10"/>
        <v>45535</v>
      </c>
      <c r="C140" t="str">
        <f t="shared" ca="1" si="11"/>
        <v>West</v>
      </c>
      <c r="D140" t="s">
        <v>14</v>
      </c>
      <c r="E140" t="s">
        <v>21</v>
      </c>
      <c r="F140">
        <f t="shared" ca="1" si="12"/>
        <v>3</v>
      </c>
      <c r="G140">
        <f t="shared" ca="1" si="13"/>
        <v>601.30999999999995</v>
      </c>
      <c r="H140">
        <f ca="1">Table3[[#This Row],[UnitPrice]]*Table3[[#This Row],[Quantity]]</f>
        <v>1803.9299999999998</v>
      </c>
    </row>
    <row r="141" spans="1:8">
      <c r="A141">
        <f t="shared" si="14"/>
        <v>1140</v>
      </c>
      <c r="B141" s="2">
        <f t="shared" ca="1" si="10"/>
        <v>45635</v>
      </c>
      <c r="C141" t="str">
        <f t="shared" ca="1" si="11"/>
        <v>West</v>
      </c>
      <c r="D141" t="s">
        <v>17</v>
      </c>
      <c r="E141" t="s">
        <v>22</v>
      </c>
      <c r="F141">
        <f t="shared" ca="1" si="12"/>
        <v>10</v>
      </c>
      <c r="G141">
        <f t="shared" ca="1" si="13"/>
        <v>19.39</v>
      </c>
      <c r="H141">
        <f ca="1">Table3[[#This Row],[UnitPrice]]*Table3[[#This Row],[Quantity]]</f>
        <v>193.9</v>
      </c>
    </row>
    <row r="142" spans="1:8">
      <c r="A142">
        <f t="shared" si="14"/>
        <v>1141</v>
      </c>
      <c r="B142" s="2">
        <f t="shared" ca="1" si="10"/>
        <v>45452</v>
      </c>
      <c r="C142" t="str">
        <f t="shared" ca="1" si="11"/>
        <v>East</v>
      </c>
      <c r="D142" t="s">
        <v>8</v>
      </c>
      <c r="E142" t="s">
        <v>23</v>
      </c>
      <c r="F142">
        <f t="shared" ca="1" si="12"/>
        <v>5</v>
      </c>
      <c r="G142">
        <f t="shared" ca="1" si="13"/>
        <v>447.99</v>
      </c>
      <c r="H142">
        <f ca="1">Table3[[#This Row],[UnitPrice]]*Table3[[#This Row],[Quantity]]</f>
        <v>2239.9499999999998</v>
      </c>
    </row>
    <row r="143" spans="1:8">
      <c r="A143">
        <f t="shared" si="14"/>
        <v>1142</v>
      </c>
      <c r="B143" s="2">
        <f t="shared" ca="1" si="10"/>
        <v>45485</v>
      </c>
      <c r="C143" t="str">
        <f t="shared" ca="1" si="11"/>
        <v>West</v>
      </c>
      <c r="D143" t="s">
        <v>11</v>
      </c>
      <c r="E143" t="s">
        <v>24</v>
      </c>
      <c r="F143">
        <f t="shared" ca="1" si="12"/>
        <v>7</v>
      </c>
      <c r="G143">
        <f t="shared" ca="1" si="13"/>
        <v>910.94</v>
      </c>
      <c r="H143">
        <f ca="1">Table3[[#This Row],[UnitPrice]]*Table3[[#This Row],[Quantity]]</f>
        <v>6376.58</v>
      </c>
    </row>
    <row r="144" spans="1:8">
      <c r="A144">
        <f t="shared" si="14"/>
        <v>1143</v>
      </c>
      <c r="B144" s="2">
        <f t="shared" ca="1" si="10"/>
        <v>45517</v>
      </c>
      <c r="C144" t="str">
        <f t="shared" ca="1" si="11"/>
        <v>South</v>
      </c>
      <c r="D144" t="s">
        <v>14</v>
      </c>
      <c r="E144" t="s">
        <v>25</v>
      </c>
      <c r="F144">
        <f t="shared" ca="1" si="12"/>
        <v>1</v>
      </c>
      <c r="G144">
        <f t="shared" ca="1" si="13"/>
        <v>402.5</v>
      </c>
      <c r="H144">
        <f ca="1">Table3[[#This Row],[UnitPrice]]*Table3[[#This Row],[Quantity]]</f>
        <v>402.5</v>
      </c>
    </row>
    <row r="145" spans="1:8">
      <c r="A145">
        <f t="shared" si="14"/>
        <v>1144</v>
      </c>
      <c r="B145" s="2">
        <f t="shared" ca="1" si="10"/>
        <v>45374</v>
      </c>
      <c r="C145" t="str">
        <f t="shared" ca="1" si="11"/>
        <v>North</v>
      </c>
      <c r="D145" t="s">
        <v>17</v>
      </c>
      <c r="E145" t="s">
        <v>26</v>
      </c>
      <c r="F145">
        <f t="shared" ca="1" si="12"/>
        <v>6</v>
      </c>
      <c r="G145">
        <f t="shared" ca="1" si="13"/>
        <v>584.26</v>
      </c>
      <c r="H145">
        <f ca="1">Table3[[#This Row],[UnitPrice]]*Table3[[#This Row],[Quantity]]</f>
        <v>3505.56</v>
      </c>
    </row>
    <row r="146" spans="1:8">
      <c r="A146">
        <f t="shared" si="14"/>
        <v>1145</v>
      </c>
      <c r="B146" s="2">
        <f t="shared" ca="1" si="10"/>
        <v>45503</v>
      </c>
      <c r="C146" t="str">
        <f t="shared" ca="1" si="11"/>
        <v>West</v>
      </c>
      <c r="D146" t="s">
        <v>8</v>
      </c>
      <c r="E146" t="s">
        <v>9</v>
      </c>
      <c r="F146">
        <f t="shared" ca="1" si="12"/>
        <v>8</v>
      </c>
      <c r="G146">
        <f t="shared" ca="1" si="13"/>
        <v>568.03</v>
      </c>
      <c r="H146">
        <f ca="1">Table3[[#This Row],[UnitPrice]]*Table3[[#This Row],[Quantity]]</f>
        <v>4544.24</v>
      </c>
    </row>
    <row r="147" spans="1:8">
      <c r="A147">
        <f t="shared" si="14"/>
        <v>1146</v>
      </c>
      <c r="B147" s="2">
        <f t="shared" ca="1" si="10"/>
        <v>45569</v>
      </c>
      <c r="C147" t="str">
        <f t="shared" ca="1" si="11"/>
        <v>North</v>
      </c>
      <c r="D147" t="s">
        <v>11</v>
      </c>
      <c r="E147" t="s">
        <v>12</v>
      </c>
      <c r="F147">
        <f t="shared" ca="1" si="12"/>
        <v>6</v>
      </c>
      <c r="G147">
        <f t="shared" ca="1" si="13"/>
        <v>965.38</v>
      </c>
      <c r="H147">
        <f ca="1">Table3[[#This Row],[UnitPrice]]*Table3[[#This Row],[Quantity]]</f>
        <v>5792.28</v>
      </c>
    </row>
    <row r="148" spans="1:8">
      <c r="A148">
        <f t="shared" si="14"/>
        <v>1147</v>
      </c>
      <c r="B148" s="2">
        <f t="shared" ca="1" si="10"/>
        <v>45296</v>
      </c>
      <c r="C148" t="str">
        <f t="shared" ca="1" si="11"/>
        <v>South</v>
      </c>
      <c r="D148" t="s">
        <v>14</v>
      </c>
      <c r="E148" t="s">
        <v>15</v>
      </c>
      <c r="F148">
        <f t="shared" ca="1" si="12"/>
        <v>1</v>
      </c>
      <c r="G148">
        <f t="shared" ca="1" si="13"/>
        <v>256.93</v>
      </c>
      <c r="H148">
        <f ca="1">Table3[[#This Row],[UnitPrice]]*Table3[[#This Row],[Quantity]]</f>
        <v>256.93</v>
      </c>
    </row>
    <row r="149" spans="1:8">
      <c r="A149">
        <f t="shared" si="14"/>
        <v>1148</v>
      </c>
      <c r="B149" s="2">
        <f t="shared" ca="1" si="10"/>
        <v>45520</v>
      </c>
      <c r="C149" t="str">
        <f t="shared" ca="1" si="11"/>
        <v>South</v>
      </c>
      <c r="D149" t="s">
        <v>17</v>
      </c>
      <c r="E149" t="s">
        <v>18</v>
      </c>
      <c r="F149">
        <f t="shared" ca="1" si="12"/>
        <v>3</v>
      </c>
      <c r="G149">
        <f t="shared" ca="1" si="13"/>
        <v>220.16</v>
      </c>
      <c r="H149">
        <f ca="1">Table3[[#This Row],[UnitPrice]]*Table3[[#This Row],[Quantity]]</f>
        <v>660.48</v>
      </c>
    </row>
    <row r="150" spans="1:8">
      <c r="A150">
        <f t="shared" si="14"/>
        <v>1149</v>
      </c>
      <c r="B150" s="2">
        <f t="shared" ca="1" si="10"/>
        <v>45541</v>
      </c>
      <c r="C150" t="str">
        <f t="shared" ca="1" si="11"/>
        <v>South</v>
      </c>
      <c r="D150" t="s">
        <v>8</v>
      </c>
      <c r="E150" t="s">
        <v>19</v>
      </c>
      <c r="F150">
        <f t="shared" ca="1" si="12"/>
        <v>2</v>
      </c>
      <c r="G150">
        <f t="shared" ca="1" si="13"/>
        <v>467.53</v>
      </c>
      <c r="H150">
        <f ca="1">Table3[[#This Row],[UnitPrice]]*Table3[[#This Row],[Quantity]]</f>
        <v>935.06</v>
      </c>
    </row>
    <row r="151" spans="1:8">
      <c r="A151">
        <f>A150+1</f>
        <v>1150</v>
      </c>
      <c r="B151" s="2">
        <f t="shared" ca="1" si="10"/>
        <v>45481</v>
      </c>
      <c r="C151" t="str">
        <f t="shared" ca="1" si="11"/>
        <v>West</v>
      </c>
      <c r="D151" t="s">
        <v>11</v>
      </c>
      <c r="E151" t="s">
        <v>20</v>
      </c>
      <c r="F151">
        <f t="shared" ca="1" si="12"/>
        <v>6</v>
      </c>
      <c r="G151">
        <f t="shared" ca="1" si="13"/>
        <v>271.02</v>
      </c>
      <c r="H151">
        <f ca="1">Table3[[#This Row],[UnitPrice]]*Table3[[#This Row],[Quantity]]</f>
        <v>1626.12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E85B3-DFC0-42A0-A4DE-5610A0CE62EC}">
  <dimension ref="A3:K23"/>
  <sheetViews>
    <sheetView zoomScale="85" zoomScaleNormal="85" workbookViewId="0">
      <selection activeCell="I18" sqref="I18"/>
    </sheetView>
  </sheetViews>
  <sheetFormatPr defaultRowHeight="15"/>
  <cols>
    <col min="1" max="1" width="15.5703125" bestFit="1" customWidth="1"/>
    <col min="2" max="2" width="16.28515625" bestFit="1" customWidth="1"/>
    <col min="3" max="3" width="10.5703125" bestFit="1" customWidth="1"/>
    <col min="4" max="4" width="15.42578125" bestFit="1" customWidth="1"/>
    <col min="5" max="5" width="8" bestFit="1" customWidth="1"/>
    <col min="6" max="6" width="11.28515625" bestFit="1" customWidth="1"/>
    <col min="9" max="9" width="15.140625" bestFit="1" customWidth="1"/>
    <col min="10" max="10" width="15.5703125" bestFit="1" customWidth="1"/>
  </cols>
  <sheetData>
    <row r="3" spans="1:11">
      <c r="A3" s="9" t="s">
        <v>31</v>
      </c>
      <c r="B3" t="s">
        <v>33</v>
      </c>
      <c r="I3" s="9" t="s">
        <v>31</v>
      </c>
      <c r="J3" t="s">
        <v>33</v>
      </c>
      <c r="K3" s="9"/>
    </row>
    <row r="4" spans="1:11">
      <c r="A4" s="10" t="s">
        <v>13</v>
      </c>
      <c r="B4" s="11">
        <v>14430.549999999994</v>
      </c>
      <c r="I4" s="10" t="s">
        <v>11</v>
      </c>
      <c r="J4" s="11">
        <v>7526.4799999999968</v>
      </c>
    </row>
    <row r="5" spans="1:11">
      <c r="A5" s="10" t="s">
        <v>7</v>
      </c>
      <c r="B5" s="11">
        <v>89598.84</v>
      </c>
      <c r="I5" s="10" t="s">
        <v>8</v>
      </c>
      <c r="J5" s="11">
        <v>89598.84</v>
      </c>
    </row>
    <row r="6" spans="1:11">
      <c r="A6" s="10" t="s">
        <v>10</v>
      </c>
      <c r="B6" s="11">
        <v>7526.4799999999968</v>
      </c>
      <c r="I6" s="10" t="s">
        <v>14</v>
      </c>
      <c r="J6" s="11">
        <v>14430.549999999994</v>
      </c>
    </row>
    <row r="7" spans="1:11">
      <c r="A7" s="10" t="s">
        <v>16</v>
      </c>
      <c r="B7" s="11">
        <v>4787.6299999999974</v>
      </c>
      <c r="I7" s="10" t="s">
        <v>17</v>
      </c>
      <c r="J7" s="11">
        <v>4787.6299999999974</v>
      </c>
    </row>
    <row r="8" spans="1:11">
      <c r="A8" s="10" t="s">
        <v>32</v>
      </c>
      <c r="B8" s="11">
        <v>116343.49999999997</v>
      </c>
      <c r="I8" s="10" t="s">
        <v>32</v>
      </c>
      <c r="J8" s="11">
        <v>116343.49999999997</v>
      </c>
    </row>
    <row r="17" spans="1:6">
      <c r="A17" s="9" t="s">
        <v>33</v>
      </c>
      <c r="B17" s="9" t="s">
        <v>34</v>
      </c>
    </row>
    <row r="18" spans="1:6">
      <c r="A18" s="9" t="s">
        <v>31</v>
      </c>
      <c r="B18" t="s">
        <v>11</v>
      </c>
      <c r="C18" t="s">
        <v>8</v>
      </c>
      <c r="D18" t="s">
        <v>14</v>
      </c>
      <c r="E18" t="s">
        <v>17</v>
      </c>
      <c r="F18" t="s">
        <v>32</v>
      </c>
    </row>
    <row r="19" spans="1:6">
      <c r="A19" s="10" t="s">
        <v>13</v>
      </c>
      <c r="B19" s="11"/>
      <c r="C19" s="11"/>
      <c r="D19" s="11">
        <v>14430.549999999994</v>
      </c>
      <c r="E19" s="11"/>
      <c r="F19" s="11">
        <v>14430.549999999994</v>
      </c>
    </row>
    <row r="20" spans="1:6">
      <c r="A20" s="10" t="s">
        <v>7</v>
      </c>
      <c r="B20" s="11"/>
      <c r="C20" s="11">
        <v>89598.84</v>
      </c>
      <c r="D20" s="11"/>
      <c r="E20" s="11"/>
      <c r="F20" s="11">
        <v>89598.84</v>
      </c>
    </row>
    <row r="21" spans="1:6">
      <c r="A21" s="10" t="s">
        <v>10</v>
      </c>
      <c r="B21" s="11">
        <v>7526.4799999999968</v>
      </c>
      <c r="C21" s="11"/>
      <c r="D21" s="11"/>
      <c r="E21" s="11"/>
      <c r="F21" s="11">
        <v>7526.4799999999968</v>
      </c>
    </row>
    <row r="22" spans="1:6">
      <c r="A22" s="10" t="s">
        <v>16</v>
      </c>
      <c r="B22" s="11"/>
      <c r="C22" s="11"/>
      <c r="D22" s="11"/>
      <c r="E22" s="11">
        <v>4787.6299999999974</v>
      </c>
      <c r="F22" s="11">
        <v>4787.6299999999974</v>
      </c>
    </row>
    <row r="23" spans="1:6">
      <c r="A23" s="10" t="s">
        <v>32</v>
      </c>
      <c r="B23" s="11">
        <v>7526.4799999999968</v>
      </c>
      <c r="C23" s="11">
        <v>89598.84</v>
      </c>
      <c r="D23" s="11">
        <v>14430.549999999994</v>
      </c>
      <c r="E23" s="11">
        <v>4787.6299999999974</v>
      </c>
      <c r="F23" s="11">
        <v>116343.49999999997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F346-FC48-4475-8B35-0DB85AC89A8C}">
  <dimension ref="A1:K151"/>
  <sheetViews>
    <sheetView tabSelected="1" topLeftCell="A2" workbookViewId="0">
      <selection activeCell="D2" sqref="D2"/>
    </sheetView>
  </sheetViews>
  <sheetFormatPr defaultRowHeight="15"/>
  <cols>
    <col min="1" max="1" width="10.140625" customWidth="1"/>
    <col min="2" max="2" width="13.7109375" customWidth="1"/>
    <col min="3" max="3" width="10.85546875" customWidth="1"/>
    <col min="4" max="4" width="15.140625" bestFit="1" customWidth="1"/>
    <col min="5" max="5" width="13.28515625" bestFit="1" customWidth="1"/>
    <col min="6" max="6" width="12" customWidth="1"/>
    <col min="7" max="7" width="12.7109375" customWidth="1"/>
    <col min="8" max="8" width="12.42578125" customWidth="1"/>
    <col min="11" max="11" width="21.7109375" bestFit="1" customWidth="1"/>
  </cols>
  <sheetData>
    <row r="1" spans="1:11" ht="14.25" customHeight="1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27</v>
      </c>
      <c r="K1" s="8" t="s">
        <v>30</v>
      </c>
    </row>
    <row r="2" spans="1:11">
      <c r="A2" s="3">
        <v>1001</v>
      </c>
      <c r="B2" s="2">
        <v>45306</v>
      </c>
      <c r="C2" t="s">
        <v>7</v>
      </c>
      <c r="D2" t="s">
        <v>8</v>
      </c>
      <c r="E2" t="s">
        <v>9</v>
      </c>
      <c r="F2">
        <v>3</v>
      </c>
      <c r="G2">
        <v>999.99</v>
      </c>
      <c r="H2">
        <f>Table4[[#This Row],[UnitPrice]]*Table4[[#This Row],[Quantity]]</f>
        <v>2999.9700000000003</v>
      </c>
    </row>
    <row r="3" spans="1:11">
      <c r="A3" s="3">
        <v>1002</v>
      </c>
      <c r="B3" s="2">
        <v>45342</v>
      </c>
      <c r="C3" t="s">
        <v>10</v>
      </c>
      <c r="D3" t="s">
        <v>11</v>
      </c>
      <c r="E3" t="s">
        <v>12</v>
      </c>
      <c r="F3">
        <v>5</v>
      </c>
      <c r="G3">
        <v>19.989999999999998</v>
      </c>
      <c r="H3">
        <f>Table4[[#This Row],[UnitPrice]]*Table4[[#This Row],[Quantity]]</f>
        <v>99.949999999999989</v>
      </c>
    </row>
    <row r="4" spans="1:11">
      <c r="A4" s="3">
        <v>1003</v>
      </c>
      <c r="B4" s="2">
        <v>45363</v>
      </c>
      <c r="C4" t="s">
        <v>13</v>
      </c>
      <c r="D4" t="s">
        <v>14</v>
      </c>
      <c r="E4" t="s">
        <v>15</v>
      </c>
      <c r="F4">
        <v>1</v>
      </c>
      <c r="G4">
        <v>499.5</v>
      </c>
      <c r="H4">
        <f>Table4[[#This Row],[UnitPrice]]*Table4[[#This Row],[Quantity]]</f>
        <v>499.5</v>
      </c>
    </row>
    <row r="5" spans="1:11">
      <c r="A5" s="3">
        <v>1004</v>
      </c>
      <c r="B5" s="2">
        <v>45387</v>
      </c>
      <c r="C5" t="s">
        <v>16</v>
      </c>
      <c r="D5" t="s">
        <v>17</v>
      </c>
      <c r="E5" t="s">
        <v>18</v>
      </c>
      <c r="F5">
        <v>2</v>
      </c>
      <c r="G5">
        <v>89.99</v>
      </c>
      <c r="H5">
        <f>Table4[[#This Row],[UnitPrice]]*Table4[[#This Row],[Quantity]]</f>
        <v>179.98</v>
      </c>
    </row>
    <row r="6" spans="1:11">
      <c r="A6" s="3">
        <v>1005</v>
      </c>
      <c r="B6" s="2">
        <v>45430</v>
      </c>
      <c r="C6" t="s">
        <v>7</v>
      </c>
      <c r="D6" t="s">
        <v>8</v>
      </c>
      <c r="E6" t="s">
        <v>19</v>
      </c>
      <c r="F6">
        <v>4</v>
      </c>
      <c r="G6">
        <v>699.99</v>
      </c>
      <c r="H6">
        <f>Table4[[#This Row],[UnitPrice]]*Table4[[#This Row],[Quantity]]</f>
        <v>2799.96</v>
      </c>
    </row>
    <row r="7" spans="1:11">
      <c r="A7" s="3">
        <v>1006</v>
      </c>
      <c r="B7" s="2">
        <v>45465</v>
      </c>
      <c r="C7" t="s">
        <v>10</v>
      </c>
      <c r="D7" t="s">
        <v>11</v>
      </c>
      <c r="E7" t="s">
        <v>20</v>
      </c>
      <c r="F7">
        <v>6</v>
      </c>
      <c r="G7">
        <v>49.99</v>
      </c>
      <c r="H7">
        <f>Table4[[#This Row],[UnitPrice]]*Table4[[#This Row],[Quantity]]</f>
        <v>299.94</v>
      </c>
    </row>
    <row r="8" spans="1:11">
      <c r="A8" s="4">
        <v>1007</v>
      </c>
      <c r="B8" s="2">
        <v>45503</v>
      </c>
      <c r="C8" t="s">
        <v>13</v>
      </c>
      <c r="D8" t="s">
        <v>14</v>
      </c>
      <c r="E8" t="s">
        <v>21</v>
      </c>
      <c r="F8">
        <v>3</v>
      </c>
      <c r="G8">
        <v>29.99</v>
      </c>
      <c r="H8">
        <f>Table4[[#This Row],[UnitPrice]]*Table4[[#This Row],[Quantity]]</f>
        <v>89.97</v>
      </c>
    </row>
    <row r="9" spans="1:11">
      <c r="A9" s="4">
        <v>1008</v>
      </c>
      <c r="B9" s="2">
        <v>45518</v>
      </c>
      <c r="C9" t="s">
        <v>16</v>
      </c>
      <c r="D9" t="s">
        <v>17</v>
      </c>
      <c r="E9" t="s">
        <v>22</v>
      </c>
      <c r="F9">
        <v>2</v>
      </c>
      <c r="G9">
        <v>24.99</v>
      </c>
      <c r="H9">
        <f>Table4[[#This Row],[UnitPrice]]*Table4[[#This Row],[Quantity]]</f>
        <v>49.98</v>
      </c>
    </row>
    <row r="10" spans="1:11">
      <c r="A10" s="4">
        <v>1009</v>
      </c>
      <c r="B10" s="2">
        <v>45544</v>
      </c>
      <c r="C10" t="s">
        <v>7</v>
      </c>
      <c r="D10" t="s">
        <v>8</v>
      </c>
      <c r="E10" t="s">
        <v>23</v>
      </c>
      <c r="F10">
        <v>1</v>
      </c>
      <c r="G10">
        <v>399.99</v>
      </c>
      <c r="H10">
        <f>Table4[[#This Row],[UnitPrice]]*Table4[[#This Row],[Quantity]]</f>
        <v>399.99</v>
      </c>
    </row>
    <row r="11" spans="1:11">
      <c r="A11" s="4">
        <v>1010</v>
      </c>
      <c r="B11" s="2">
        <v>45590</v>
      </c>
      <c r="C11" t="s">
        <v>10</v>
      </c>
      <c r="D11" t="s">
        <v>11</v>
      </c>
      <c r="E11" t="s">
        <v>24</v>
      </c>
      <c r="F11">
        <v>2</v>
      </c>
      <c r="G11">
        <v>79.989999999999995</v>
      </c>
      <c r="H11">
        <f>Table4[[#This Row],[UnitPrice]]*Table4[[#This Row],[Quantity]]</f>
        <v>159.97999999999999</v>
      </c>
    </row>
    <row r="12" spans="1:11">
      <c r="A12" s="4">
        <v>1011</v>
      </c>
      <c r="B12" s="2">
        <v>45607</v>
      </c>
      <c r="C12" t="s">
        <v>13</v>
      </c>
      <c r="D12" t="s">
        <v>14</v>
      </c>
      <c r="E12" t="s">
        <v>25</v>
      </c>
      <c r="F12">
        <v>4</v>
      </c>
      <c r="G12">
        <v>89.99</v>
      </c>
      <c r="H12">
        <f>Table4[[#This Row],[UnitPrice]]*Table4[[#This Row],[Quantity]]</f>
        <v>359.96</v>
      </c>
    </row>
    <row r="13" spans="1:11">
      <c r="A13" s="4">
        <v>1012</v>
      </c>
      <c r="B13" s="2">
        <v>45627</v>
      </c>
      <c r="C13" t="s">
        <v>16</v>
      </c>
      <c r="D13" t="s">
        <v>17</v>
      </c>
      <c r="E13" t="s">
        <v>26</v>
      </c>
      <c r="F13">
        <v>3</v>
      </c>
      <c r="G13">
        <v>34.99</v>
      </c>
      <c r="H13">
        <f>Table4[[#This Row],[UnitPrice]]*Table4[[#This Row],[Quantity]]</f>
        <v>104.97</v>
      </c>
    </row>
    <row r="14" spans="1:11">
      <c r="A14" s="4">
        <v>1013</v>
      </c>
      <c r="B14" s="2">
        <v>45318</v>
      </c>
      <c r="C14" t="s">
        <v>7</v>
      </c>
      <c r="D14" t="s">
        <v>8</v>
      </c>
      <c r="E14" t="s">
        <v>9</v>
      </c>
      <c r="F14">
        <v>2</v>
      </c>
      <c r="G14">
        <v>1049.99</v>
      </c>
      <c r="H14">
        <f>Table4[[#This Row],[UnitPrice]]*Table4[[#This Row],[Quantity]]</f>
        <v>2099.98</v>
      </c>
    </row>
    <row r="15" spans="1:11">
      <c r="A15" s="4">
        <v>1014</v>
      </c>
      <c r="B15" s="2">
        <v>45336</v>
      </c>
      <c r="C15" t="s">
        <v>10</v>
      </c>
      <c r="D15" t="s">
        <v>11</v>
      </c>
      <c r="E15" t="s">
        <v>12</v>
      </c>
      <c r="F15">
        <v>7</v>
      </c>
      <c r="G15">
        <v>18.5</v>
      </c>
      <c r="H15">
        <f>Table4[[#This Row],[UnitPrice]]*Table4[[#This Row],[Quantity]]</f>
        <v>129.5</v>
      </c>
    </row>
    <row r="16" spans="1:11">
      <c r="A16" s="4">
        <v>1015</v>
      </c>
      <c r="B16" s="2">
        <v>45373</v>
      </c>
      <c r="C16" t="s">
        <v>13</v>
      </c>
      <c r="D16" t="s">
        <v>14</v>
      </c>
      <c r="E16" t="s">
        <v>15</v>
      </c>
      <c r="F16">
        <v>1</v>
      </c>
      <c r="G16">
        <v>599.99</v>
      </c>
      <c r="H16">
        <f>Table4[[#This Row],[UnitPrice]]*Table4[[#This Row],[Quantity]]</f>
        <v>599.99</v>
      </c>
    </row>
    <row r="17" spans="1:8">
      <c r="A17" s="4">
        <v>1016</v>
      </c>
      <c r="B17" s="2">
        <v>45399</v>
      </c>
      <c r="C17" t="s">
        <v>16</v>
      </c>
      <c r="D17" t="s">
        <v>17</v>
      </c>
      <c r="E17" t="s">
        <v>18</v>
      </c>
      <c r="F17">
        <v>1</v>
      </c>
      <c r="G17">
        <v>95</v>
      </c>
      <c r="H17">
        <f>Table4[[#This Row],[UnitPrice]]*Table4[[#This Row],[Quantity]]</f>
        <v>95</v>
      </c>
    </row>
    <row r="18" spans="1:8">
      <c r="A18" s="4">
        <v>1017</v>
      </c>
      <c r="B18" s="2">
        <v>45415</v>
      </c>
      <c r="C18" t="s">
        <v>7</v>
      </c>
      <c r="D18" t="s">
        <v>8</v>
      </c>
      <c r="E18" t="s">
        <v>19</v>
      </c>
      <c r="F18">
        <v>5</v>
      </c>
      <c r="G18">
        <v>749.99</v>
      </c>
      <c r="H18">
        <f>Table4[[#This Row],[UnitPrice]]*Table4[[#This Row],[Quantity]]</f>
        <v>3749.95</v>
      </c>
    </row>
    <row r="19" spans="1:8">
      <c r="A19" s="4">
        <v>1018</v>
      </c>
      <c r="B19" s="2">
        <v>45462</v>
      </c>
      <c r="C19" t="s">
        <v>10</v>
      </c>
      <c r="D19" t="s">
        <v>11</v>
      </c>
      <c r="E19" t="s">
        <v>20</v>
      </c>
      <c r="F19">
        <v>4</v>
      </c>
      <c r="G19">
        <v>59.99</v>
      </c>
      <c r="H19">
        <f>Table4[[#This Row],[UnitPrice]]*Table4[[#This Row],[Quantity]]</f>
        <v>239.96</v>
      </c>
    </row>
    <row r="20" spans="1:8">
      <c r="A20" s="4">
        <v>1019</v>
      </c>
      <c r="B20" s="2">
        <v>45481</v>
      </c>
      <c r="C20" t="s">
        <v>13</v>
      </c>
      <c r="D20" t="s">
        <v>14</v>
      </c>
      <c r="E20" t="s">
        <v>21</v>
      </c>
      <c r="F20">
        <v>2</v>
      </c>
      <c r="G20">
        <v>39.99</v>
      </c>
      <c r="H20">
        <f>Table4[[#This Row],[UnitPrice]]*Table4[[#This Row],[Quantity]]</f>
        <v>79.98</v>
      </c>
    </row>
    <row r="21" spans="1:8">
      <c r="A21" s="4">
        <v>1020</v>
      </c>
      <c r="B21" s="2">
        <v>45531</v>
      </c>
      <c r="C21" t="s">
        <v>16</v>
      </c>
      <c r="D21" t="s">
        <v>17</v>
      </c>
      <c r="E21" t="s">
        <v>22</v>
      </c>
      <c r="F21">
        <v>3</v>
      </c>
      <c r="G21">
        <v>22.5</v>
      </c>
      <c r="H21">
        <f>Table4[[#This Row],[UnitPrice]]*Table4[[#This Row],[Quantity]]</f>
        <v>67.5</v>
      </c>
    </row>
    <row r="22" spans="1:8">
      <c r="A22" s="4">
        <v>1021</v>
      </c>
      <c r="B22" s="2">
        <v>45549</v>
      </c>
      <c r="C22" t="s">
        <v>7</v>
      </c>
      <c r="D22" t="s">
        <v>8</v>
      </c>
      <c r="E22" t="s">
        <v>23</v>
      </c>
      <c r="F22">
        <v>2</v>
      </c>
      <c r="G22">
        <v>449.99</v>
      </c>
      <c r="H22">
        <f>Table4[[#This Row],[UnitPrice]]*Table4[[#This Row],[Quantity]]</f>
        <v>899.98</v>
      </c>
    </row>
    <row r="23" spans="1:8">
      <c r="A23" s="4">
        <v>1022</v>
      </c>
      <c r="B23" s="2">
        <v>45570</v>
      </c>
      <c r="C23" t="s">
        <v>10</v>
      </c>
      <c r="D23" t="s">
        <v>11</v>
      </c>
      <c r="E23" t="s">
        <v>24</v>
      </c>
      <c r="F23">
        <v>1</v>
      </c>
      <c r="G23">
        <v>89.99</v>
      </c>
      <c r="H23">
        <f>Table4[[#This Row],[UnitPrice]]*Table4[[#This Row],[Quantity]]</f>
        <v>89.99</v>
      </c>
    </row>
    <row r="24" spans="1:8">
      <c r="A24" s="4">
        <v>1023</v>
      </c>
      <c r="B24" s="2">
        <v>45624</v>
      </c>
      <c r="C24" t="s">
        <v>13</v>
      </c>
      <c r="D24" t="s">
        <v>14</v>
      </c>
      <c r="E24" t="s">
        <v>25</v>
      </c>
      <c r="F24">
        <v>5</v>
      </c>
      <c r="G24">
        <v>79.989999999999995</v>
      </c>
      <c r="H24">
        <f>Table4[[#This Row],[UnitPrice]]*Table4[[#This Row],[Quantity]]</f>
        <v>399.95</v>
      </c>
    </row>
    <row r="25" spans="1:8">
      <c r="A25" s="4">
        <v>1024</v>
      </c>
      <c r="B25" s="2">
        <v>45638</v>
      </c>
      <c r="C25" t="s">
        <v>16</v>
      </c>
      <c r="D25" t="s">
        <v>17</v>
      </c>
      <c r="E25" t="s">
        <v>26</v>
      </c>
      <c r="F25">
        <v>2</v>
      </c>
      <c r="G25">
        <v>39.99</v>
      </c>
      <c r="H25">
        <f>Table4[[#This Row],[UnitPrice]]*Table4[[#This Row],[Quantity]]</f>
        <v>79.98</v>
      </c>
    </row>
    <row r="26" spans="1:8">
      <c r="A26" s="4">
        <v>1025</v>
      </c>
      <c r="B26" s="2">
        <v>45300</v>
      </c>
      <c r="C26" t="s">
        <v>7</v>
      </c>
      <c r="D26" t="s">
        <v>8</v>
      </c>
      <c r="E26" t="s">
        <v>9</v>
      </c>
      <c r="F26">
        <v>4</v>
      </c>
      <c r="G26">
        <v>899.99</v>
      </c>
      <c r="H26">
        <f>Table4[[#This Row],[UnitPrice]]*Table4[[#This Row],[Quantity]]</f>
        <v>3599.96</v>
      </c>
    </row>
    <row r="27" spans="1:8">
      <c r="A27" s="4">
        <v>1026</v>
      </c>
      <c r="B27" s="2">
        <v>45347</v>
      </c>
      <c r="C27" t="s">
        <v>10</v>
      </c>
      <c r="D27" t="s">
        <v>11</v>
      </c>
      <c r="E27" t="s">
        <v>12</v>
      </c>
      <c r="F27">
        <v>8</v>
      </c>
      <c r="G27">
        <v>15.99</v>
      </c>
      <c r="H27">
        <f>Table4[[#This Row],[UnitPrice]]*Table4[[#This Row],[Quantity]]</f>
        <v>127.92</v>
      </c>
    </row>
    <row r="28" spans="1:8">
      <c r="A28" s="4">
        <v>1027</v>
      </c>
      <c r="B28" s="2">
        <v>45369</v>
      </c>
      <c r="C28" t="s">
        <v>13</v>
      </c>
      <c r="D28" t="s">
        <v>14</v>
      </c>
      <c r="E28" t="s">
        <v>15</v>
      </c>
      <c r="F28">
        <v>1</v>
      </c>
      <c r="G28">
        <v>649.99</v>
      </c>
      <c r="H28">
        <f>Table4[[#This Row],[UnitPrice]]*Table4[[#This Row],[Quantity]]</f>
        <v>649.99</v>
      </c>
    </row>
    <row r="29" spans="1:8">
      <c r="A29" s="4">
        <v>1028</v>
      </c>
      <c r="B29" s="2">
        <v>45404</v>
      </c>
      <c r="C29" t="s">
        <v>16</v>
      </c>
      <c r="D29" t="s">
        <v>17</v>
      </c>
      <c r="E29" t="s">
        <v>18</v>
      </c>
      <c r="F29">
        <v>3</v>
      </c>
      <c r="G29">
        <v>99.99</v>
      </c>
      <c r="H29">
        <f>Table4[[#This Row],[UnitPrice]]*Table4[[#This Row],[Quantity]]</f>
        <v>299.96999999999997</v>
      </c>
    </row>
    <row r="30" spans="1:8">
      <c r="A30" s="4">
        <v>1029</v>
      </c>
      <c r="B30" s="2">
        <v>45441</v>
      </c>
      <c r="C30" t="s">
        <v>7</v>
      </c>
      <c r="D30" t="s">
        <v>8</v>
      </c>
      <c r="E30" t="s">
        <v>19</v>
      </c>
      <c r="F30">
        <v>3</v>
      </c>
      <c r="G30">
        <v>799.99</v>
      </c>
      <c r="H30">
        <f>Table4[[#This Row],[UnitPrice]]*Table4[[#This Row],[Quantity]]</f>
        <v>2399.9700000000003</v>
      </c>
    </row>
    <row r="31" spans="1:8">
      <c r="A31" s="4">
        <v>1030</v>
      </c>
      <c r="B31" s="2">
        <v>45454</v>
      </c>
      <c r="C31" t="s">
        <v>10</v>
      </c>
      <c r="D31" t="s">
        <v>11</v>
      </c>
      <c r="E31" t="s">
        <v>20</v>
      </c>
      <c r="F31">
        <v>5</v>
      </c>
      <c r="G31">
        <v>69.989999999999995</v>
      </c>
      <c r="H31">
        <f>Table4[[#This Row],[UnitPrice]]*Table4[[#This Row],[Quantity]]</f>
        <v>349.95</v>
      </c>
    </row>
    <row r="32" spans="1:8">
      <c r="A32" s="4">
        <v>1031</v>
      </c>
      <c r="B32" s="2">
        <v>45496</v>
      </c>
      <c r="C32" t="s">
        <v>13</v>
      </c>
      <c r="D32" t="s">
        <v>14</v>
      </c>
      <c r="E32" t="s">
        <v>21</v>
      </c>
      <c r="F32">
        <v>4</v>
      </c>
      <c r="G32">
        <v>25.5</v>
      </c>
      <c r="H32">
        <f>Table4[[#This Row],[UnitPrice]]*Table4[[#This Row],[Quantity]]</f>
        <v>102</v>
      </c>
    </row>
    <row r="33" spans="1:8">
      <c r="A33" s="4">
        <v>1032</v>
      </c>
      <c r="B33" s="2">
        <v>45511</v>
      </c>
      <c r="C33" t="s">
        <v>16</v>
      </c>
      <c r="D33" t="s">
        <v>17</v>
      </c>
      <c r="E33" t="s">
        <v>22</v>
      </c>
      <c r="F33">
        <v>1</v>
      </c>
      <c r="G33">
        <v>29.99</v>
      </c>
      <c r="H33">
        <f>Table4[[#This Row],[UnitPrice]]*Table4[[#This Row],[Quantity]]</f>
        <v>29.99</v>
      </c>
    </row>
    <row r="34" spans="1:8">
      <c r="A34" s="4">
        <v>1033</v>
      </c>
      <c r="B34" s="2">
        <v>45565</v>
      </c>
      <c r="C34" t="s">
        <v>7</v>
      </c>
      <c r="D34" t="s">
        <v>8</v>
      </c>
      <c r="E34" t="s">
        <v>23</v>
      </c>
      <c r="F34">
        <v>3</v>
      </c>
      <c r="G34">
        <v>499.99</v>
      </c>
      <c r="H34">
        <f>Table4[[#This Row],[UnitPrice]]*Table4[[#This Row],[Quantity]]</f>
        <v>1499.97</v>
      </c>
    </row>
    <row r="35" spans="1:8">
      <c r="A35" s="4">
        <v>1034</v>
      </c>
      <c r="B35" s="2">
        <v>45584</v>
      </c>
      <c r="C35" t="s">
        <v>10</v>
      </c>
      <c r="D35" t="s">
        <v>11</v>
      </c>
      <c r="E35" t="s">
        <v>24</v>
      </c>
      <c r="F35">
        <v>2</v>
      </c>
      <c r="G35">
        <v>99.99</v>
      </c>
      <c r="H35">
        <f>Table4[[#This Row],[UnitPrice]]*Table4[[#This Row],[Quantity]]</f>
        <v>199.98</v>
      </c>
    </row>
    <row r="36" spans="1:8">
      <c r="A36" s="4">
        <v>1035</v>
      </c>
      <c r="B36" s="2">
        <v>45611</v>
      </c>
      <c r="C36" t="s">
        <v>13</v>
      </c>
      <c r="D36" t="s">
        <v>14</v>
      </c>
      <c r="E36" t="s">
        <v>25</v>
      </c>
      <c r="F36">
        <v>3</v>
      </c>
      <c r="G36">
        <v>109.99</v>
      </c>
      <c r="H36">
        <f>Table4[[#This Row],[UnitPrice]]*Table4[[#This Row],[Quantity]]</f>
        <v>329.96999999999997</v>
      </c>
    </row>
    <row r="37" spans="1:8">
      <c r="A37" s="4">
        <v>1036</v>
      </c>
      <c r="B37" s="2">
        <v>45630</v>
      </c>
      <c r="C37" t="s">
        <v>16</v>
      </c>
      <c r="D37" t="s">
        <v>17</v>
      </c>
      <c r="E37" t="s">
        <v>26</v>
      </c>
      <c r="F37">
        <v>4</v>
      </c>
      <c r="G37">
        <v>29.99</v>
      </c>
      <c r="H37">
        <f>Table4[[#This Row],[UnitPrice]]*Table4[[#This Row],[Quantity]]</f>
        <v>119.96</v>
      </c>
    </row>
    <row r="38" spans="1:8">
      <c r="A38" s="4">
        <v>1037</v>
      </c>
      <c r="B38" s="2">
        <v>45312</v>
      </c>
      <c r="C38" t="s">
        <v>7</v>
      </c>
      <c r="D38" t="s">
        <v>8</v>
      </c>
      <c r="E38" t="s">
        <v>9</v>
      </c>
      <c r="F38">
        <v>2</v>
      </c>
      <c r="G38">
        <v>1199.99</v>
      </c>
      <c r="H38">
        <f>Table4[[#This Row],[UnitPrice]]*Table4[[#This Row],[Quantity]]</f>
        <v>2399.98</v>
      </c>
    </row>
    <row r="39" spans="1:8">
      <c r="A39" s="4">
        <v>1038</v>
      </c>
      <c r="B39" s="2">
        <v>45331</v>
      </c>
      <c r="C39" t="s">
        <v>10</v>
      </c>
      <c r="D39" t="s">
        <v>11</v>
      </c>
      <c r="E39" t="s">
        <v>12</v>
      </c>
      <c r="F39">
        <v>6</v>
      </c>
      <c r="G39">
        <v>22.99</v>
      </c>
      <c r="H39">
        <f>Table4[[#This Row],[UnitPrice]]*Table4[[#This Row],[Quantity]]</f>
        <v>137.94</v>
      </c>
    </row>
    <row r="40" spans="1:8">
      <c r="A40" s="4">
        <v>1039</v>
      </c>
      <c r="B40" s="2">
        <v>45378</v>
      </c>
      <c r="C40" t="s">
        <v>13</v>
      </c>
      <c r="D40" t="s">
        <v>14</v>
      </c>
      <c r="E40" t="s">
        <v>15</v>
      </c>
      <c r="F40">
        <v>1</v>
      </c>
      <c r="G40">
        <v>749.99</v>
      </c>
      <c r="H40">
        <f>Table4[[#This Row],[UnitPrice]]*Table4[[#This Row],[Quantity]]</f>
        <v>749.99</v>
      </c>
    </row>
    <row r="41" spans="1:8">
      <c r="A41" s="4">
        <v>1040</v>
      </c>
      <c r="B41" s="2">
        <v>45394</v>
      </c>
      <c r="C41" t="s">
        <v>16</v>
      </c>
      <c r="D41" t="s">
        <v>17</v>
      </c>
      <c r="E41" t="s">
        <v>18</v>
      </c>
      <c r="F41">
        <v>2</v>
      </c>
      <c r="G41">
        <v>79.989999999999995</v>
      </c>
      <c r="H41">
        <f>Table4[[#This Row],[UnitPrice]]*Table4[[#This Row],[Quantity]]</f>
        <v>159.97999999999999</v>
      </c>
    </row>
    <row r="42" spans="1:8">
      <c r="A42" s="4">
        <v>1041</v>
      </c>
      <c r="B42" s="2">
        <v>45419</v>
      </c>
      <c r="C42" t="s">
        <v>7</v>
      </c>
      <c r="D42" t="s">
        <v>8</v>
      </c>
      <c r="E42" t="s">
        <v>19</v>
      </c>
      <c r="F42">
        <v>6</v>
      </c>
      <c r="G42">
        <v>649.99</v>
      </c>
      <c r="H42">
        <f>Table4[[#This Row],[UnitPrice]]*Table4[[#This Row],[Quantity]]</f>
        <v>3899.94</v>
      </c>
    </row>
    <row r="43" spans="1:8">
      <c r="A43" s="4">
        <v>1042</v>
      </c>
      <c r="B43" s="2">
        <v>45472</v>
      </c>
      <c r="C43" t="s">
        <v>10</v>
      </c>
      <c r="D43" t="s">
        <v>11</v>
      </c>
      <c r="E43" t="s">
        <v>20</v>
      </c>
      <c r="F43">
        <v>3</v>
      </c>
      <c r="G43">
        <v>79.989999999999995</v>
      </c>
      <c r="H43">
        <f>Table4[[#This Row],[UnitPrice]]*Table4[[#This Row],[Quantity]]</f>
        <v>239.96999999999997</v>
      </c>
    </row>
    <row r="44" spans="1:8">
      <c r="A44" s="4">
        <v>1043</v>
      </c>
      <c r="B44" s="2">
        <v>45490</v>
      </c>
      <c r="C44" t="s">
        <v>13</v>
      </c>
      <c r="D44" t="s">
        <v>14</v>
      </c>
      <c r="E44" t="s">
        <v>21</v>
      </c>
      <c r="F44">
        <v>5</v>
      </c>
      <c r="G44">
        <v>19.989999999999998</v>
      </c>
      <c r="H44">
        <f>Table4[[#This Row],[UnitPrice]]*Table4[[#This Row],[Quantity]]</f>
        <v>99.949999999999989</v>
      </c>
    </row>
    <row r="45" spans="1:8">
      <c r="A45" s="4">
        <v>1044</v>
      </c>
      <c r="B45" s="2">
        <v>45523</v>
      </c>
      <c r="C45" t="s">
        <v>16</v>
      </c>
      <c r="D45" t="s">
        <v>17</v>
      </c>
      <c r="E45" t="s">
        <v>22</v>
      </c>
      <c r="F45">
        <v>2</v>
      </c>
      <c r="G45">
        <v>34.99</v>
      </c>
      <c r="H45">
        <f>Table4[[#This Row],[UnitPrice]]*Table4[[#This Row],[Quantity]]</f>
        <v>69.98</v>
      </c>
    </row>
    <row r="46" spans="1:8">
      <c r="A46" s="4">
        <v>1045</v>
      </c>
      <c r="B46" s="2">
        <v>45541</v>
      </c>
      <c r="C46" t="s">
        <v>7</v>
      </c>
      <c r="D46" t="s">
        <v>8</v>
      </c>
      <c r="E46" t="s">
        <v>23</v>
      </c>
      <c r="F46">
        <v>1</v>
      </c>
      <c r="G46">
        <v>549.99</v>
      </c>
      <c r="H46">
        <f>Table4[[#This Row],[UnitPrice]]*Table4[[#This Row],[Quantity]]</f>
        <v>549.99</v>
      </c>
    </row>
    <row r="47" spans="1:8">
      <c r="A47" s="4">
        <v>1046</v>
      </c>
      <c r="B47" s="2">
        <v>45594</v>
      </c>
      <c r="C47" t="s">
        <v>10</v>
      </c>
      <c r="D47" t="s">
        <v>11</v>
      </c>
      <c r="E47" t="s">
        <v>24</v>
      </c>
      <c r="F47">
        <v>3</v>
      </c>
      <c r="G47">
        <v>69.989999999999995</v>
      </c>
      <c r="H47">
        <f>Table4[[#This Row],[UnitPrice]]*Table4[[#This Row],[Quantity]]</f>
        <v>209.96999999999997</v>
      </c>
    </row>
    <row r="48" spans="1:8">
      <c r="A48" s="4">
        <v>1047</v>
      </c>
      <c r="B48" s="2">
        <v>45605</v>
      </c>
      <c r="C48" t="s">
        <v>13</v>
      </c>
      <c r="D48" t="s">
        <v>14</v>
      </c>
      <c r="E48" t="s">
        <v>25</v>
      </c>
      <c r="F48">
        <v>6</v>
      </c>
      <c r="G48">
        <v>69.989999999999995</v>
      </c>
      <c r="H48">
        <f>Table4[[#This Row],[UnitPrice]]*Table4[[#This Row],[Quantity]]</f>
        <v>419.93999999999994</v>
      </c>
    </row>
    <row r="49" spans="1:8">
      <c r="A49" s="4">
        <v>1048</v>
      </c>
      <c r="B49" s="2">
        <v>45644</v>
      </c>
      <c r="C49" t="s">
        <v>16</v>
      </c>
      <c r="D49" t="s">
        <v>17</v>
      </c>
      <c r="E49" t="s">
        <v>26</v>
      </c>
      <c r="F49">
        <v>1</v>
      </c>
      <c r="G49">
        <v>49.99</v>
      </c>
      <c r="H49">
        <f>Table4[[#This Row],[UnitPrice]]*Table4[[#This Row],[Quantity]]</f>
        <v>49.99</v>
      </c>
    </row>
    <row r="50" spans="1:8">
      <c r="A50" s="4">
        <v>1049</v>
      </c>
      <c r="B50" s="2">
        <v>45320</v>
      </c>
      <c r="C50" t="s">
        <v>7</v>
      </c>
      <c r="D50" t="s">
        <v>8</v>
      </c>
      <c r="E50" t="s">
        <v>9</v>
      </c>
      <c r="F50">
        <v>3</v>
      </c>
      <c r="G50">
        <v>1099.99</v>
      </c>
      <c r="H50">
        <f>Table4[[#This Row],[UnitPrice]]*Table4[[#This Row],[Quantity]]</f>
        <v>3299.9700000000003</v>
      </c>
    </row>
    <row r="51" spans="1:8">
      <c r="A51" s="4">
        <v>1050</v>
      </c>
      <c r="B51" s="2">
        <v>45333</v>
      </c>
      <c r="C51" t="s">
        <v>10</v>
      </c>
      <c r="D51" t="s">
        <v>11</v>
      </c>
      <c r="E51" t="s">
        <v>12</v>
      </c>
      <c r="F51">
        <v>9</v>
      </c>
      <c r="G51">
        <v>14.99</v>
      </c>
      <c r="H51">
        <f>Table4[[#This Row],[UnitPrice]]*Table4[[#This Row],[Quantity]]</f>
        <v>134.91</v>
      </c>
    </row>
    <row r="52" spans="1:8">
      <c r="A52" s="4">
        <v>1051</v>
      </c>
      <c r="B52" s="2">
        <v>45359</v>
      </c>
      <c r="C52" t="s">
        <v>13</v>
      </c>
      <c r="D52" t="s">
        <v>14</v>
      </c>
      <c r="E52" t="s">
        <v>15</v>
      </c>
      <c r="F52">
        <v>1</v>
      </c>
      <c r="G52">
        <v>899.99</v>
      </c>
      <c r="H52">
        <f>Table4[[#This Row],[UnitPrice]]*Table4[[#This Row],[Quantity]]</f>
        <v>899.99</v>
      </c>
    </row>
    <row r="53" spans="1:8">
      <c r="A53" s="4">
        <v>1052</v>
      </c>
      <c r="B53" s="2">
        <v>45408</v>
      </c>
      <c r="C53" t="s">
        <v>16</v>
      </c>
      <c r="D53" t="s">
        <v>17</v>
      </c>
      <c r="E53" t="s">
        <v>18</v>
      </c>
      <c r="F53">
        <v>4</v>
      </c>
      <c r="G53">
        <v>69.989999999999995</v>
      </c>
      <c r="H53">
        <f>Table4[[#This Row],[UnitPrice]]*Table4[[#This Row],[Quantity]]</f>
        <v>279.95999999999998</v>
      </c>
    </row>
    <row r="54" spans="1:8">
      <c r="A54" s="4">
        <v>1053</v>
      </c>
      <c r="B54" s="2">
        <v>45433</v>
      </c>
      <c r="C54" t="s">
        <v>7</v>
      </c>
      <c r="D54" t="s">
        <v>8</v>
      </c>
      <c r="E54" t="s">
        <v>19</v>
      </c>
      <c r="F54">
        <v>2</v>
      </c>
      <c r="G54">
        <v>899.99</v>
      </c>
      <c r="H54">
        <f>Table4[[#This Row],[UnitPrice]]*Table4[[#This Row],[Quantity]]</f>
        <v>1799.98</v>
      </c>
    </row>
    <row r="55" spans="1:8">
      <c r="A55" s="4">
        <v>1054</v>
      </c>
      <c r="B55" s="2">
        <v>45450</v>
      </c>
      <c r="C55" t="s">
        <v>10</v>
      </c>
      <c r="D55" t="s">
        <v>11</v>
      </c>
      <c r="E55" t="s">
        <v>20</v>
      </c>
      <c r="F55">
        <v>7</v>
      </c>
      <c r="G55">
        <v>44.99</v>
      </c>
      <c r="H55">
        <f>Table4[[#This Row],[UnitPrice]]*Table4[[#This Row],[Quantity]]</f>
        <v>314.93</v>
      </c>
    </row>
    <row r="56" spans="1:8">
      <c r="A56" s="4">
        <v>1055</v>
      </c>
      <c r="B56" s="2">
        <v>45504</v>
      </c>
      <c r="C56" t="s">
        <v>13</v>
      </c>
      <c r="D56" t="s">
        <v>14</v>
      </c>
      <c r="E56" t="s">
        <v>21</v>
      </c>
      <c r="F56">
        <v>2</v>
      </c>
      <c r="G56">
        <v>49.99</v>
      </c>
      <c r="H56">
        <f>Table4[[#This Row],[UnitPrice]]*Table4[[#This Row],[Quantity]]</f>
        <v>99.98</v>
      </c>
    </row>
    <row r="57" spans="1:8">
      <c r="A57" s="4">
        <v>1056</v>
      </c>
      <c r="B57" s="2">
        <v>45527</v>
      </c>
      <c r="C57" t="s">
        <v>16</v>
      </c>
      <c r="D57" t="s">
        <v>17</v>
      </c>
      <c r="E57" t="s">
        <v>22</v>
      </c>
      <c r="F57">
        <v>4</v>
      </c>
      <c r="G57">
        <v>19.989999999999998</v>
      </c>
      <c r="H57">
        <f>Table4[[#This Row],[UnitPrice]]*Table4[[#This Row],[Quantity]]</f>
        <v>79.959999999999994</v>
      </c>
    </row>
    <row r="58" spans="1:8">
      <c r="A58" s="4">
        <v>1057</v>
      </c>
      <c r="B58" s="2">
        <v>45554</v>
      </c>
      <c r="C58" t="s">
        <v>7</v>
      </c>
      <c r="D58" t="s">
        <v>8</v>
      </c>
      <c r="E58" t="s">
        <v>23</v>
      </c>
      <c r="F58">
        <v>2</v>
      </c>
      <c r="G58">
        <v>379.99</v>
      </c>
      <c r="H58">
        <f>Table4[[#This Row],[UnitPrice]]*Table4[[#This Row],[Quantity]]</f>
        <v>759.98</v>
      </c>
    </row>
    <row r="59" spans="1:8">
      <c r="A59" s="4">
        <v>1058</v>
      </c>
      <c r="B59" s="2">
        <v>45579</v>
      </c>
      <c r="C59" t="s">
        <v>10</v>
      </c>
      <c r="D59" t="s">
        <v>11</v>
      </c>
      <c r="E59" t="s">
        <v>24</v>
      </c>
      <c r="F59">
        <v>1</v>
      </c>
      <c r="G59">
        <v>119.99</v>
      </c>
      <c r="H59">
        <f>Table4[[#This Row],[UnitPrice]]*Table4[[#This Row],[Quantity]]</f>
        <v>119.99</v>
      </c>
    </row>
    <row r="60" spans="1:8">
      <c r="A60" s="4">
        <v>1059</v>
      </c>
      <c r="B60" s="2">
        <v>45621</v>
      </c>
      <c r="C60" t="s">
        <v>13</v>
      </c>
      <c r="D60" t="s">
        <v>14</v>
      </c>
      <c r="E60" t="s">
        <v>25</v>
      </c>
      <c r="F60">
        <v>4</v>
      </c>
      <c r="G60">
        <v>99.99</v>
      </c>
      <c r="H60">
        <f>Table4[[#This Row],[UnitPrice]]*Table4[[#This Row],[Quantity]]</f>
        <v>399.96</v>
      </c>
    </row>
    <row r="61" spans="1:8">
      <c r="A61" s="4">
        <v>1060</v>
      </c>
      <c r="B61" s="2">
        <v>45635</v>
      </c>
      <c r="C61" t="s">
        <v>16</v>
      </c>
      <c r="D61" t="s">
        <v>17</v>
      </c>
      <c r="E61" t="s">
        <v>26</v>
      </c>
      <c r="F61">
        <v>3</v>
      </c>
      <c r="G61">
        <v>44.99</v>
      </c>
      <c r="H61">
        <f>Table4[[#This Row],[UnitPrice]]*Table4[[#This Row],[Quantity]]</f>
        <v>134.97</v>
      </c>
    </row>
    <row r="62" spans="1:8">
      <c r="A62" s="4">
        <v>1061</v>
      </c>
      <c r="B62" s="2">
        <v>45309</v>
      </c>
      <c r="C62" t="s">
        <v>7</v>
      </c>
      <c r="D62" t="s">
        <v>8</v>
      </c>
      <c r="E62" t="s">
        <v>9</v>
      </c>
      <c r="F62">
        <v>1</v>
      </c>
      <c r="G62">
        <v>1299.99</v>
      </c>
      <c r="H62">
        <f>Table4[[#This Row],[UnitPrice]]*Table4[[#This Row],[Quantity]]</f>
        <v>1299.99</v>
      </c>
    </row>
    <row r="63" spans="1:8">
      <c r="A63" s="4">
        <v>1062</v>
      </c>
      <c r="B63" s="2">
        <v>45350</v>
      </c>
      <c r="C63" t="s">
        <v>10</v>
      </c>
      <c r="D63" t="s">
        <v>11</v>
      </c>
      <c r="E63" t="s">
        <v>12</v>
      </c>
      <c r="F63">
        <v>5</v>
      </c>
      <c r="G63">
        <v>24.99</v>
      </c>
      <c r="H63">
        <f>Table4[[#This Row],[UnitPrice]]*Table4[[#This Row],[Quantity]]</f>
        <v>124.94999999999999</v>
      </c>
    </row>
    <row r="64" spans="1:8">
      <c r="A64" s="4">
        <v>1063</v>
      </c>
      <c r="B64" s="2">
        <v>45366</v>
      </c>
      <c r="C64" t="s">
        <v>13</v>
      </c>
      <c r="D64" t="s">
        <v>14</v>
      </c>
      <c r="E64" t="s">
        <v>15</v>
      </c>
      <c r="F64">
        <v>1</v>
      </c>
      <c r="G64">
        <v>549.99</v>
      </c>
      <c r="H64">
        <f>Table4[[#This Row],[UnitPrice]]*Table4[[#This Row],[Quantity]]</f>
        <v>549.99</v>
      </c>
    </row>
    <row r="65" spans="1:8">
      <c r="A65" s="4">
        <v>1064</v>
      </c>
      <c r="B65" s="2">
        <v>45390</v>
      </c>
      <c r="C65" t="s">
        <v>16</v>
      </c>
      <c r="D65" t="s">
        <v>17</v>
      </c>
      <c r="E65" t="s">
        <v>18</v>
      </c>
      <c r="F65">
        <v>2</v>
      </c>
      <c r="G65">
        <v>109.99</v>
      </c>
      <c r="H65">
        <f>Table4[[#This Row],[UnitPrice]]*Table4[[#This Row],[Quantity]]</f>
        <v>219.98</v>
      </c>
    </row>
    <row r="66" spans="1:8">
      <c r="A66" s="4">
        <v>1065</v>
      </c>
      <c r="B66" s="2">
        <v>45424</v>
      </c>
      <c r="C66" t="s">
        <v>7</v>
      </c>
      <c r="D66" t="s">
        <v>8</v>
      </c>
      <c r="E66" t="s">
        <v>19</v>
      </c>
      <c r="F66">
        <v>4</v>
      </c>
      <c r="G66">
        <v>699.99</v>
      </c>
      <c r="H66">
        <f>Table4[[#This Row],[UnitPrice]]*Table4[[#This Row],[Quantity]]</f>
        <v>2799.96</v>
      </c>
    </row>
    <row r="67" spans="1:8">
      <c r="A67" s="4">
        <v>1066</v>
      </c>
      <c r="B67" s="2">
        <v>45468</v>
      </c>
      <c r="C67" t="s">
        <v>10</v>
      </c>
      <c r="D67" t="s">
        <v>11</v>
      </c>
      <c r="E67" t="s">
        <v>20</v>
      </c>
      <c r="F67">
        <v>3</v>
      </c>
      <c r="G67">
        <v>89.99</v>
      </c>
      <c r="H67">
        <f>Table4[[#This Row],[UnitPrice]]*Table4[[#This Row],[Quantity]]</f>
        <v>269.96999999999997</v>
      </c>
    </row>
    <row r="68" spans="1:8">
      <c r="A68" s="4">
        <v>1067</v>
      </c>
      <c r="B68" s="2">
        <v>45482</v>
      </c>
      <c r="C68" t="s">
        <v>13</v>
      </c>
      <c r="D68" t="s">
        <v>14</v>
      </c>
      <c r="E68" t="s">
        <v>21</v>
      </c>
      <c r="F68">
        <v>6</v>
      </c>
      <c r="G68">
        <v>22.5</v>
      </c>
      <c r="H68">
        <f>Table4[[#This Row],[UnitPrice]]*Table4[[#This Row],[Quantity]]</f>
        <v>135</v>
      </c>
    </row>
    <row r="69" spans="1:8">
      <c r="A69" s="4">
        <v>1068</v>
      </c>
      <c r="B69" s="2">
        <v>45505</v>
      </c>
      <c r="C69" t="s">
        <v>16</v>
      </c>
      <c r="D69" t="s">
        <v>17</v>
      </c>
      <c r="E69" t="s">
        <v>22</v>
      </c>
      <c r="F69">
        <v>3</v>
      </c>
      <c r="G69">
        <v>27.99</v>
      </c>
      <c r="H69">
        <f>Table4[[#This Row],[UnitPrice]]*Table4[[#This Row],[Quantity]]</f>
        <v>83.97</v>
      </c>
    </row>
    <row r="70" spans="1:8">
      <c r="A70" s="4">
        <v>1069</v>
      </c>
      <c r="B70" s="2">
        <v>45558</v>
      </c>
      <c r="C70" t="s">
        <v>7</v>
      </c>
      <c r="D70" t="s">
        <v>8</v>
      </c>
      <c r="E70" t="s">
        <v>23</v>
      </c>
      <c r="F70">
        <v>3</v>
      </c>
      <c r="G70">
        <v>429.99</v>
      </c>
      <c r="H70">
        <f>Table4[[#This Row],[UnitPrice]]*Table4[[#This Row],[Quantity]]</f>
        <v>1289.97</v>
      </c>
    </row>
    <row r="71" spans="1:8">
      <c r="A71" s="4">
        <v>1070</v>
      </c>
      <c r="B71" s="2">
        <v>45582</v>
      </c>
      <c r="C71" t="s">
        <v>10</v>
      </c>
      <c r="D71" t="s">
        <v>11</v>
      </c>
      <c r="E71" t="s">
        <v>24</v>
      </c>
      <c r="F71">
        <v>2</v>
      </c>
      <c r="G71">
        <v>109.99</v>
      </c>
      <c r="H71">
        <f>Table4[[#This Row],[UnitPrice]]*Table4[[#This Row],[Quantity]]</f>
        <v>219.98</v>
      </c>
    </row>
    <row r="72" spans="1:8">
      <c r="A72" s="4">
        <v>1071</v>
      </c>
      <c r="B72" s="2">
        <v>45601</v>
      </c>
      <c r="C72" t="s">
        <v>13</v>
      </c>
      <c r="D72" t="s">
        <v>14</v>
      </c>
      <c r="E72" t="s">
        <v>25</v>
      </c>
      <c r="F72">
        <v>5</v>
      </c>
      <c r="G72">
        <v>59.99</v>
      </c>
      <c r="H72">
        <f>Table4[[#This Row],[UnitPrice]]*Table4[[#This Row],[Quantity]]</f>
        <v>299.95</v>
      </c>
    </row>
    <row r="73" spans="1:8">
      <c r="A73" s="4">
        <v>1072</v>
      </c>
      <c r="B73" s="2">
        <v>45648</v>
      </c>
      <c r="C73" t="s">
        <v>16</v>
      </c>
      <c r="D73" t="s">
        <v>17</v>
      </c>
      <c r="E73" t="s">
        <v>26</v>
      </c>
      <c r="F73">
        <v>2</v>
      </c>
      <c r="G73">
        <v>54.99</v>
      </c>
      <c r="H73">
        <f>Table4[[#This Row],[UnitPrice]]*Table4[[#This Row],[Quantity]]</f>
        <v>109.98</v>
      </c>
    </row>
    <row r="74" spans="1:8">
      <c r="A74" s="4">
        <v>1073</v>
      </c>
      <c r="B74" s="2">
        <v>45294</v>
      </c>
      <c r="C74" t="s">
        <v>7</v>
      </c>
      <c r="D74" t="s">
        <v>8</v>
      </c>
      <c r="E74" t="s">
        <v>9</v>
      </c>
      <c r="F74">
        <v>4</v>
      </c>
      <c r="G74">
        <v>949.99</v>
      </c>
      <c r="H74">
        <f>Table4[[#This Row],[UnitPrice]]*Table4[[#This Row],[Quantity]]</f>
        <v>3799.96</v>
      </c>
    </row>
    <row r="75" spans="1:8">
      <c r="A75" s="4">
        <v>1074</v>
      </c>
      <c r="B75" s="2">
        <v>45339</v>
      </c>
      <c r="C75" t="s">
        <v>10</v>
      </c>
      <c r="D75" t="s">
        <v>11</v>
      </c>
      <c r="E75" t="s">
        <v>12</v>
      </c>
      <c r="F75">
        <v>7</v>
      </c>
      <c r="G75">
        <v>17.5</v>
      </c>
      <c r="H75">
        <f>Table4[[#This Row],[UnitPrice]]*Table4[[#This Row],[Quantity]]</f>
        <v>122.5</v>
      </c>
    </row>
    <row r="76" spans="1:8">
      <c r="A76" s="4">
        <v>1075</v>
      </c>
      <c r="B76" s="2">
        <v>45376</v>
      </c>
      <c r="C76" t="s">
        <v>13</v>
      </c>
      <c r="D76" t="s">
        <v>14</v>
      </c>
      <c r="E76" t="s">
        <v>15</v>
      </c>
      <c r="F76">
        <v>1</v>
      </c>
      <c r="G76">
        <v>699.99</v>
      </c>
      <c r="H76">
        <f>Table4[[#This Row],[UnitPrice]]*Table4[[#This Row],[Quantity]]</f>
        <v>699.99</v>
      </c>
    </row>
    <row r="77" spans="1:8">
      <c r="A77" s="4">
        <v>1076</v>
      </c>
      <c r="B77" s="2">
        <v>45411</v>
      </c>
      <c r="C77" t="s">
        <v>16</v>
      </c>
      <c r="D77" t="s">
        <v>17</v>
      </c>
      <c r="E77" t="s">
        <v>18</v>
      </c>
      <c r="F77">
        <v>3</v>
      </c>
      <c r="G77">
        <v>84.99</v>
      </c>
      <c r="H77">
        <f>Table4[[#This Row],[UnitPrice]]*Table4[[#This Row],[Quantity]]</f>
        <v>254.96999999999997</v>
      </c>
    </row>
    <row r="78" spans="1:8">
      <c r="A78" s="4">
        <v>1077</v>
      </c>
      <c r="B78" s="2">
        <v>45421</v>
      </c>
      <c r="C78" t="s">
        <v>7</v>
      </c>
      <c r="D78" t="s">
        <v>8</v>
      </c>
      <c r="E78" t="s">
        <v>19</v>
      </c>
      <c r="F78">
        <v>5</v>
      </c>
      <c r="G78">
        <v>779.99</v>
      </c>
      <c r="H78">
        <f>Table4[[#This Row],[UnitPrice]]*Table4[[#This Row],[Quantity]]</f>
        <v>3899.95</v>
      </c>
    </row>
    <row r="79" spans="1:8">
      <c r="A79" s="4">
        <v>1078</v>
      </c>
      <c r="B79" s="2">
        <v>45457</v>
      </c>
      <c r="C79" t="s">
        <v>10</v>
      </c>
      <c r="D79" t="s">
        <v>11</v>
      </c>
      <c r="E79" t="s">
        <v>20</v>
      </c>
      <c r="F79">
        <v>4</v>
      </c>
      <c r="G79">
        <v>64.989999999999995</v>
      </c>
      <c r="H79">
        <f>Table4[[#This Row],[UnitPrice]]*Table4[[#This Row],[Quantity]]</f>
        <v>259.95999999999998</v>
      </c>
    </row>
    <row r="80" spans="1:8">
      <c r="A80" s="4">
        <v>1079</v>
      </c>
      <c r="B80" s="2">
        <v>45475</v>
      </c>
      <c r="C80" t="s">
        <v>13</v>
      </c>
      <c r="D80" t="s">
        <v>14</v>
      </c>
      <c r="E80" t="s">
        <v>21</v>
      </c>
      <c r="F80">
        <v>3</v>
      </c>
      <c r="G80">
        <v>34.99</v>
      </c>
      <c r="H80">
        <f>Table4[[#This Row],[UnitPrice]]*Table4[[#This Row],[Quantity]]</f>
        <v>104.97</v>
      </c>
    </row>
    <row r="81" spans="1:8">
      <c r="A81" s="4">
        <v>1080</v>
      </c>
      <c r="B81" s="2">
        <v>45530</v>
      </c>
      <c r="C81" t="s">
        <v>16</v>
      </c>
      <c r="D81" t="s">
        <v>17</v>
      </c>
      <c r="E81" t="s">
        <v>22</v>
      </c>
      <c r="F81">
        <v>1</v>
      </c>
      <c r="G81">
        <v>39.99</v>
      </c>
      <c r="H81">
        <f>Table4[[#This Row],[UnitPrice]]*Table4[[#This Row],[Quantity]]</f>
        <v>39.99</v>
      </c>
    </row>
    <row r="82" spans="1:8">
      <c r="A82" s="4">
        <v>1081</v>
      </c>
      <c r="B82" s="2">
        <v>45547</v>
      </c>
      <c r="C82" t="s">
        <v>7</v>
      </c>
      <c r="D82" t="s">
        <v>8</v>
      </c>
      <c r="E82" t="s">
        <v>23</v>
      </c>
      <c r="F82">
        <v>2</v>
      </c>
      <c r="G82">
        <v>519.99</v>
      </c>
      <c r="H82">
        <f>Table4[[#This Row],[UnitPrice]]*Table4[[#This Row],[Quantity]]</f>
        <v>1039.98</v>
      </c>
    </row>
    <row r="83" spans="1:8">
      <c r="A83" s="4">
        <v>1082</v>
      </c>
      <c r="B83" s="2">
        <v>45572</v>
      </c>
      <c r="C83" t="s">
        <v>10</v>
      </c>
      <c r="D83" t="s">
        <v>11</v>
      </c>
      <c r="E83" t="s">
        <v>24</v>
      </c>
      <c r="F83">
        <v>3</v>
      </c>
      <c r="G83">
        <v>79.989999999999995</v>
      </c>
      <c r="H83">
        <f>Table4[[#This Row],[UnitPrice]]*Table4[[#This Row],[Quantity]]</f>
        <v>239.96999999999997</v>
      </c>
    </row>
    <row r="84" spans="1:8">
      <c r="A84" s="4">
        <v>1083</v>
      </c>
      <c r="B84" s="2">
        <v>45615</v>
      </c>
      <c r="C84" t="s">
        <v>13</v>
      </c>
      <c r="D84" t="s">
        <v>14</v>
      </c>
      <c r="E84" t="s">
        <v>25</v>
      </c>
      <c r="F84">
        <v>2</v>
      </c>
      <c r="G84">
        <v>119.99</v>
      </c>
      <c r="H84">
        <f>Table4[[#This Row],[UnitPrice]]*Table4[[#This Row],[Quantity]]</f>
        <v>239.98</v>
      </c>
    </row>
    <row r="85" spans="1:8">
      <c r="A85" s="4">
        <v>1084</v>
      </c>
      <c r="B85" s="2">
        <v>45653</v>
      </c>
      <c r="C85" t="s">
        <v>16</v>
      </c>
      <c r="D85" t="s">
        <v>17</v>
      </c>
      <c r="E85" t="s">
        <v>26</v>
      </c>
      <c r="F85">
        <v>5</v>
      </c>
      <c r="G85">
        <v>29.99</v>
      </c>
      <c r="H85">
        <f>Table4[[#This Row],[UnitPrice]]*Table4[[#This Row],[Quantity]]</f>
        <v>149.94999999999999</v>
      </c>
    </row>
    <row r="86" spans="1:8">
      <c r="A86" s="4">
        <v>1085</v>
      </c>
      <c r="B86" s="2">
        <v>45322</v>
      </c>
      <c r="C86" t="s">
        <v>7</v>
      </c>
      <c r="D86" t="s">
        <v>8</v>
      </c>
      <c r="E86" t="s">
        <v>9</v>
      </c>
      <c r="F86">
        <v>2</v>
      </c>
      <c r="G86">
        <v>1149.99</v>
      </c>
      <c r="H86">
        <f>Table4[[#This Row],[UnitPrice]]*Table4[[#This Row],[Quantity]]</f>
        <v>2299.98</v>
      </c>
    </row>
    <row r="87" spans="1:8">
      <c r="A87" s="4">
        <v>1086</v>
      </c>
      <c r="B87" s="2">
        <v>45330</v>
      </c>
      <c r="C87" t="s">
        <v>10</v>
      </c>
      <c r="D87" t="s">
        <v>11</v>
      </c>
      <c r="E87" t="s">
        <v>12</v>
      </c>
      <c r="F87">
        <v>8</v>
      </c>
      <c r="G87">
        <v>20.99</v>
      </c>
      <c r="H87">
        <f>Table4[[#This Row],[UnitPrice]]*Table4[[#This Row],[Quantity]]</f>
        <v>167.92</v>
      </c>
    </row>
    <row r="88" spans="1:8">
      <c r="A88" s="4">
        <v>1087</v>
      </c>
      <c r="B88" s="2">
        <v>45356</v>
      </c>
      <c r="C88" t="s">
        <v>13</v>
      </c>
      <c r="D88" t="s">
        <v>14</v>
      </c>
      <c r="E88" t="s">
        <v>15</v>
      </c>
      <c r="F88">
        <v>1</v>
      </c>
      <c r="G88">
        <v>799.99</v>
      </c>
      <c r="H88">
        <f>Table4[[#This Row],[UnitPrice]]*Table4[[#This Row],[Quantity]]</f>
        <v>799.99</v>
      </c>
    </row>
    <row r="89" spans="1:8">
      <c r="A89" s="4">
        <v>1088</v>
      </c>
      <c r="B89" s="2">
        <v>45400</v>
      </c>
      <c r="C89" t="s">
        <v>16</v>
      </c>
      <c r="D89" t="s">
        <v>17</v>
      </c>
      <c r="E89" t="s">
        <v>18</v>
      </c>
      <c r="F89">
        <v>1</v>
      </c>
      <c r="G89">
        <v>129.99</v>
      </c>
      <c r="H89">
        <f>Table4[[#This Row],[UnitPrice]]*Table4[[#This Row],[Quantity]]</f>
        <v>129.99</v>
      </c>
    </row>
    <row r="90" spans="1:8">
      <c r="A90" s="4">
        <v>1089</v>
      </c>
      <c r="B90" s="2">
        <v>45438</v>
      </c>
      <c r="C90" t="s">
        <v>7</v>
      </c>
      <c r="D90" t="s">
        <v>8</v>
      </c>
      <c r="E90" t="s">
        <v>19</v>
      </c>
      <c r="F90">
        <v>3</v>
      </c>
      <c r="G90">
        <v>849.99</v>
      </c>
      <c r="H90">
        <f>Table4[[#This Row],[UnitPrice]]*Table4[[#This Row],[Quantity]]</f>
        <v>2549.9700000000003</v>
      </c>
    </row>
    <row r="91" spans="1:8">
      <c r="A91" s="4">
        <v>1090</v>
      </c>
      <c r="B91" s="2">
        <v>45452</v>
      </c>
      <c r="C91" t="s">
        <v>10</v>
      </c>
      <c r="D91" t="s">
        <v>11</v>
      </c>
      <c r="E91" t="s">
        <v>20</v>
      </c>
      <c r="F91">
        <v>6</v>
      </c>
      <c r="G91">
        <v>54.99</v>
      </c>
      <c r="H91">
        <f>Table4[[#This Row],[UnitPrice]]*Table4[[#This Row],[Quantity]]</f>
        <v>329.94</v>
      </c>
    </row>
    <row r="92" spans="1:8">
      <c r="A92" s="4">
        <v>1091</v>
      </c>
      <c r="B92" s="2">
        <v>45497</v>
      </c>
      <c r="C92" t="s">
        <v>13</v>
      </c>
      <c r="D92" t="s">
        <v>14</v>
      </c>
      <c r="E92" t="s">
        <v>21</v>
      </c>
      <c r="F92">
        <v>4</v>
      </c>
      <c r="G92">
        <v>29.99</v>
      </c>
      <c r="H92">
        <f>Table4[[#This Row],[UnitPrice]]*Table4[[#This Row],[Quantity]]</f>
        <v>119.96</v>
      </c>
    </row>
    <row r="93" spans="1:8">
      <c r="A93" s="4">
        <v>1092</v>
      </c>
      <c r="B93" s="2">
        <v>45516</v>
      </c>
      <c r="C93" t="s">
        <v>16</v>
      </c>
      <c r="D93" t="s">
        <v>17</v>
      </c>
      <c r="E93" t="s">
        <v>22</v>
      </c>
      <c r="F93">
        <v>2</v>
      </c>
      <c r="G93">
        <v>44.99</v>
      </c>
      <c r="H93">
        <f>Table4[[#This Row],[UnitPrice]]*Table4[[#This Row],[Quantity]]</f>
        <v>89.98</v>
      </c>
    </row>
    <row r="94" spans="1:8">
      <c r="A94" s="4">
        <v>1093</v>
      </c>
      <c r="B94" s="2">
        <v>45563</v>
      </c>
      <c r="C94" t="s">
        <v>7</v>
      </c>
      <c r="D94" t="s">
        <v>8</v>
      </c>
      <c r="E94" t="s">
        <v>23</v>
      </c>
      <c r="F94">
        <v>4</v>
      </c>
      <c r="G94">
        <v>399.99</v>
      </c>
      <c r="H94">
        <f>Table4[[#This Row],[UnitPrice]]*Table4[[#This Row],[Quantity]]</f>
        <v>1599.96</v>
      </c>
    </row>
    <row r="95" spans="1:8">
      <c r="A95" s="4">
        <v>1094</v>
      </c>
      <c r="B95" s="2">
        <v>45587</v>
      </c>
      <c r="C95" t="s">
        <v>10</v>
      </c>
      <c r="D95" t="s">
        <v>11</v>
      </c>
      <c r="E95" t="s">
        <v>24</v>
      </c>
      <c r="F95">
        <v>1</v>
      </c>
      <c r="G95">
        <v>129.99</v>
      </c>
      <c r="H95">
        <f>Table4[[#This Row],[UnitPrice]]*Table4[[#This Row],[Quantity]]</f>
        <v>129.99</v>
      </c>
    </row>
    <row r="96" spans="1:8">
      <c r="A96" s="4">
        <v>1095</v>
      </c>
      <c r="B96" s="2">
        <v>45597</v>
      </c>
      <c r="C96" t="s">
        <v>13</v>
      </c>
      <c r="D96" t="s">
        <v>14</v>
      </c>
      <c r="E96" t="s">
        <v>25</v>
      </c>
      <c r="F96">
        <v>3</v>
      </c>
      <c r="G96">
        <v>89.99</v>
      </c>
      <c r="H96">
        <f>Table4[[#This Row],[UnitPrice]]*Table4[[#This Row],[Quantity]]</f>
        <v>269.96999999999997</v>
      </c>
    </row>
    <row r="97" spans="1:8">
      <c r="A97" s="4">
        <v>1096</v>
      </c>
      <c r="B97" s="2">
        <v>45641</v>
      </c>
      <c r="C97" t="s">
        <v>16</v>
      </c>
      <c r="D97" t="s">
        <v>17</v>
      </c>
      <c r="E97" t="s">
        <v>26</v>
      </c>
      <c r="F97">
        <v>3</v>
      </c>
      <c r="G97">
        <v>39.99</v>
      </c>
      <c r="H97">
        <f>Table4[[#This Row],[UnitPrice]]*Table4[[#This Row],[Quantity]]</f>
        <v>119.97</v>
      </c>
    </row>
    <row r="98" spans="1:8">
      <c r="A98" s="4">
        <v>1097</v>
      </c>
      <c r="B98" s="2">
        <v>45298</v>
      </c>
      <c r="C98" t="s">
        <v>7</v>
      </c>
      <c r="D98" t="s">
        <v>8</v>
      </c>
      <c r="E98" t="s">
        <v>9</v>
      </c>
      <c r="F98">
        <v>5</v>
      </c>
      <c r="G98">
        <v>899.99</v>
      </c>
      <c r="H98">
        <f>Table4[[#This Row],[UnitPrice]]*Table4[[#This Row],[Quantity]]</f>
        <v>4499.95</v>
      </c>
    </row>
    <row r="99" spans="1:8">
      <c r="A99" s="4">
        <v>1098</v>
      </c>
      <c r="B99" s="2">
        <v>45341</v>
      </c>
      <c r="C99" t="s">
        <v>10</v>
      </c>
      <c r="D99" t="s">
        <v>11</v>
      </c>
      <c r="E99" t="s">
        <v>12</v>
      </c>
      <c r="F99">
        <v>6</v>
      </c>
      <c r="G99">
        <v>21.5</v>
      </c>
      <c r="H99">
        <f>Table4[[#This Row],[UnitPrice]]*Table4[[#This Row],[Quantity]]</f>
        <v>129</v>
      </c>
    </row>
    <row r="100" spans="1:8">
      <c r="A100" s="4">
        <v>1099</v>
      </c>
      <c r="B100" s="2">
        <v>45380</v>
      </c>
      <c r="C100" t="s">
        <v>13</v>
      </c>
      <c r="D100" t="s">
        <v>14</v>
      </c>
      <c r="E100" t="s">
        <v>15</v>
      </c>
      <c r="F100">
        <v>1</v>
      </c>
      <c r="G100">
        <v>649.99</v>
      </c>
      <c r="H100">
        <f>Table4[[#This Row],[UnitPrice]]*Table4[[#This Row],[Quantity]]</f>
        <v>649.99</v>
      </c>
    </row>
    <row r="101" spans="1:8">
      <c r="A101" s="4">
        <v>1100</v>
      </c>
      <c r="B101" s="2">
        <v>45391</v>
      </c>
      <c r="C101" t="s">
        <v>16</v>
      </c>
      <c r="D101" t="s">
        <v>17</v>
      </c>
      <c r="E101" t="s">
        <v>18</v>
      </c>
      <c r="F101">
        <v>2</v>
      </c>
      <c r="G101">
        <v>94.99</v>
      </c>
      <c r="H101">
        <f>Table4[[#This Row],[UnitPrice]]*Table4[[#This Row],[Quantity]]</f>
        <v>189.98</v>
      </c>
    </row>
    <row r="102" spans="1:8">
      <c r="A102" s="4">
        <v>1101</v>
      </c>
      <c r="B102" s="2">
        <v>45428</v>
      </c>
      <c r="C102" t="s">
        <v>7</v>
      </c>
      <c r="D102" t="s">
        <v>8</v>
      </c>
      <c r="E102" t="s">
        <v>19</v>
      </c>
      <c r="F102">
        <v>4</v>
      </c>
      <c r="G102">
        <v>729.99</v>
      </c>
      <c r="H102">
        <f>Table4[[#This Row],[UnitPrice]]*Table4[[#This Row],[Quantity]]</f>
        <v>2919.96</v>
      </c>
    </row>
    <row r="103" spans="1:8">
      <c r="A103" s="4">
        <v>1102</v>
      </c>
      <c r="B103" s="2">
        <v>45470</v>
      </c>
      <c r="C103" t="s">
        <v>10</v>
      </c>
      <c r="D103" t="s">
        <v>11</v>
      </c>
      <c r="E103" t="s">
        <v>20</v>
      </c>
      <c r="F103">
        <v>5</v>
      </c>
      <c r="G103">
        <v>49.99</v>
      </c>
      <c r="H103">
        <f>Table4[[#This Row],[UnitPrice]]*Table4[[#This Row],[Quantity]]</f>
        <v>249.95000000000002</v>
      </c>
    </row>
    <row r="104" spans="1:8">
      <c r="A104" s="4">
        <v>1103</v>
      </c>
      <c r="B104" s="2">
        <v>45484</v>
      </c>
      <c r="C104" t="s">
        <v>13</v>
      </c>
      <c r="D104" t="s">
        <v>14</v>
      </c>
      <c r="E104" t="s">
        <v>21</v>
      </c>
      <c r="F104">
        <v>2</v>
      </c>
      <c r="G104">
        <v>44.99</v>
      </c>
      <c r="H104">
        <f>Table4[[#This Row],[UnitPrice]]*Table4[[#This Row],[Quantity]]</f>
        <v>89.98</v>
      </c>
    </row>
    <row r="105" spans="1:8">
      <c r="A105" s="4">
        <v>1104</v>
      </c>
      <c r="B105" s="2">
        <v>45533</v>
      </c>
      <c r="C105" t="s">
        <v>16</v>
      </c>
      <c r="D105" t="s">
        <v>17</v>
      </c>
      <c r="E105" t="s">
        <v>22</v>
      </c>
      <c r="F105">
        <v>4</v>
      </c>
      <c r="G105">
        <v>22.99</v>
      </c>
      <c r="H105">
        <f>Table4[[#This Row],[UnitPrice]]*Table4[[#This Row],[Quantity]]</f>
        <v>91.96</v>
      </c>
    </row>
    <row r="106" spans="1:8">
      <c r="A106" s="4">
        <v>1105</v>
      </c>
      <c r="B106" s="2">
        <v>45538</v>
      </c>
      <c r="C106" t="s">
        <v>7</v>
      </c>
      <c r="D106" t="s">
        <v>8</v>
      </c>
      <c r="E106" t="s">
        <v>23</v>
      </c>
      <c r="F106">
        <v>1</v>
      </c>
      <c r="G106">
        <v>479.99</v>
      </c>
      <c r="H106">
        <f>Table4[[#This Row],[UnitPrice]]*Table4[[#This Row],[Quantity]]</f>
        <v>479.99</v>
      </c>
    </row>
    <row r="107" spans="1:8">
      <c r="A107" s="4">
        <v>1106</v>
      </c>
      <c r="B107" s="2">
        <v>45596</v>
      </c>
      <c r="C107" t="s">
        <v>10</v>
      </c>
      <c r="D107" t="s">
        <v>11</v>
      </c>
      <c r="E107" t="s">
        <v>24</v>
      </c>
      <c r="F107">
        <v>2</v>
      </c>
      <c r="G107">
        <v>99.99</v>
      </c>
      <c r="H107">
        <f>Table4[[#This Row],[UnitPrice]]*Table4[[#This Row],[Quantity]]</f>
        <v>199.98</v>
      </c>
    </row>
    <row r="108" spans="1:8">
      <c r="A108" s="4">
        <v>1107</v>
      </c>
      <c r="B108" s="2">
        <v>45618</v>
      </c>
      <c r="C108" t="s">
        <v>13</v>
      </c>
      <c r="D108" t="s">
        <v>14</v>
      </c>
      <c r="E108" t="s">
        <v>25</v>
      </c>
      <c r="F108">
        <v>6</v>
      </c>
      <c r="G108">
        <v>79.989999999999995</v>
      </c>
      <c r="H108">
        <f>Table4[[#This Row],[UnitPrice]]*Table4[[#This Row],[Quantity]]</f>
        <v>479.93999999999994</v>
      </c>
    </row>
    <row r="109" spans="1:8">
      <c r="A109" s="4">
        <v>1108</v>
      </c>
      <c r="B109" s="2">
        <v>45628</v>
      </c>
      <c r="C109" t="s">
        <v>16</v>
      </c>
      <c r="D109" t="s">
        <v>17</v>
      </c>
      <c r="E109" t="s">
        <v>26</v>
      </c>
      <c r="F109">
        <v>1</v>
      </c>
      <c r="G109">
        <v>59.99</v>
      </c>
      <c r="H109">
        <f>Table4[[#This Row],[UnitPrice]]*Table4[[#This Row],[Quantity]]</f>
        <v>59.99</v>
      </c>
    </row>
    <row r="110" spans="1:8">
      <c r="A110" s="4">
        <v>1109</v>
      </c>
      <c r="B110" s="2">
        <v>45314</v>
      </c>
      <c r="C110" t="s">
        <v>7</v>
      </c>
      <c r="D110" t="s">
        <v>8</v>
      </c>
      <c r="E110" t="s">
        <v>9</v>
      </c>
      <c r="F110">
        <v>3</v>
      </c>
      <c r="G110">
        <v>1049.99</v>
      </c>
      <c r="H110">
        <f>Table4[[#This Row],[UnitPrice]]*Table4[[#This Row],[Quantity]]</f>
        <v>3149.9700000000003</v>
      </c>
    </row>
    <row r="111" spans="1:8">
      <c r="A111" s="4">
        <v>1110</v>
      </c>
      <c r="B111" s="2">
        <v>45327</v>
      </c>
      <c r="C111" t="s">
        <v>10</v>
      </c>
      <c r="D111" t="s">
        <v>11</v>
      </c>
      <c r="E111" t="s">
        <v>12</v>
      </c>
      <c r="F111">
        <v>9</v>
      </c>
      <c r="G111">
        <v>16.989999999999998</v>
      </c>
      <c r="H111">
        <f>Table4[[#This Row],[UnitPrice]]*Table4[[#This Row],[Quantity]]</f>
        <v>152.91</v>
      </c>
    </row>
    <row r="112" spans="1:8">
      <c r="A112" s="4">
        <v>1111</v>
      </c>
      <c r="B112" s="2">
        <v>45370</v>
      </c>
      <c r="C112" t="s">
        <v>13</v>
      </c>
      <c r="D112" t="s">
        <v>14</v>
      </c>
      <c r="E112" t="s">
        <v>15</v>
      </c>
      <c r="F112">
        <v>1</v>
      </c>
      <c r="G112">
        <v>549.99</v>
      </c>
      <c r="H112">
        <f>Table4[[#This Row],[UnitPrice]]*Table4[[#This Row],[Quantity]]</f>
        <v>549.99</v>
      </c>
    </row>
    <row r="113" spans="1:8">
      <c r="A113" s="4">
        <v>1112</v>
      </c>
      <c r="B113" s="2">
        <v>45410</v>
      </c>
      <c r="C113" t="s">
        <v>16</v>
      </c>
      <c r="D113" t="s">
        <v>17</v>
      </c>
      <c r="E113" t="s">
        <v>18</v>
      </c>
      <c r="F113">
        <v>3</v>
      </c>
      <c r="G113">
        <v>74.989999999999995</v>
      </c>
      <c r="H113">
        <f>Table4[[#This Row],[UnitPrice]]*Table4[[#This Row],[Quantity]]</f>
        <v>224.96999999999997</v>
      </c>
    </row>
    <row r="114" spans="1:8">
      <c r="A114" s="4">
        <v>1113</v>
      </c>
      <c r="B114" s="2">
        <v>45414</v>
      </c>
      <c r="C114" t="s">
        <v>7</v>
      </c>
      <c r="D114" t="s">
        <v>8</v>
      </c>
      <c r="E114" t="s">
        <v>19</v>
      </c>
      <c r="F114">
        <v>5</v>
      </c>
      <c r="G114">
        <v>679.99</v>
      </c>
      <c r="H114">
        <f>Table4[[#This Row],[UnitPrice]]*Table4[[#This Row],[Quantity]]</f>
        <v>3399.95</v>
      </c>
    </row>
    <row r="115" spans="1:8">
      <c r="A115" s="4">
        <v>1114</v>
      </c>
      <c r="B115" s="2">
        <v>45460</v>
      </c>
      <c r="C115" t="s">
        <v>10</v>
      </c>
      <c r="D115" t="s">
        <v>11</v>
      </c>
      <c r="E115" t="s">
        <v>20</v>
      </c>
      <c r="F115">
        <v>2</v>
      </c>
      <c r="G115">
        <v>79.989999999999995</v>
      </c>
      <c r="H115">
        <f>Table4[[#This Row],[UnitPrice]]*Table4[[#This Row],[Quantity]]</f>
        <v>159.97999999999999</v>
      </c>
    </row>
    <row r="116" spans="1:8">
      <c r="A116" s="4">
        <v>1115</v>
      </c>
      <c r="B116" s="2">
        <v>45502</v>
      </c>
      <c r="C116" t="s">
        <v>13</v>
      </c>
      <c r="D116" t="s">
        <v>14</v>
      </c>
      <c r="E116" t="s">
        <v>21</v>
      </c>
      <c r="F116">
        <v>5</v>
      </c>
      <c r="G116">
        <v>19.989999999999998</v>
      </c>
      <c r="H116">
        <f>Table4[[#This Row],[UnitPrice]]*Table4[[#This Row],[Quantity]]</f>
        <v>99.949999999999989</v>
      </c>
    </row>
    <row r="117" spans="1:8">
      <c r="A117" s="4">
        <v>1116</v>
      </c>
      <c r="B117" s="2">
        <v>45519</v>
      </c>
      <c r="C117" t="s">
        <v>16</v>
      </c>
      <c r="D117" t="s">
        <v>17</v>
      </c>
      <c r="E117" t="s">
        <v>22</v>
      </c>
      <c r="F117">
        <v>3</v>
      </c>
      <c r="G117">
        <v>29.99</v>
      </c>
      <c r="H117">
        <f>Table4[[#This Row],[UnitPrice]]*Table4[[#This Row],[Quantity]]</f>
        <v>89.97</v>
      </c>
    </row>
    <row r="118" spans="1:8">
      <c r="A118" s="4">
        <v>1117</v>
      </c>
      <c r="B118" s="2">
        <v>45561</v>
      </c>
      <c r="C118" t="s">
        <v>7</v>
      </c>
      <c r="D118" t="s">
        <v>8</v>
      </c>
      <c r="E118" t="s">
        <v>23</v>
      </c>
      <c r="F118">
        <v>2</v>
      </c>
      <c r="G118">
        <v>529.99</v>
      </c>
      <c r="H118">
        <f>Table4[[#This Row],[UnitPrice]]*Table4[[#This Row],[Quantity]]</f>
        <v>1059.98</v>
      </c>
    </row>
    <row r="119" spans="1:8">
      <c r="A119" s="4">
        <v>1118</v>
      </c>
      <c r="B119" s="2">
        <v>45576</v>
      </c>
      <c r="C119" t="s">
        <v>10</v>
      </c>
      <c r="D119" t="s">
        <v>11</v>
      </c>
      <c r="E119" t="s">
        <v>24</v>
      </c>
      <c r="F119">
        <v>3</v>
      </c>
      <c r="G119">
        <v>89.99</v>
      </c>
      <c r="H119">
        <f>Table4[[#This Row],[UnitPrice]]*Table4[[#This Row],[Quantity]]</f>
        <v>269.96999999999997</v>
      </c>
    </row>
    <row r="120" spans="1:8">
      <c r="A120" s="4">
        <v>1119</v>
      </c>
      <c r="B120" s="2">
        <v>45625</v>
      </c>
      <c r="C120" t="s">
        <v>13</v>
      </c>
      <c r="D120" t="s">
        <v>14</v>
      </c>
      <c r="E120" t="s">
        <v>25</v>
      </c>
      <c r="F120">
        <v>4</v>
      </c>
      <c r="G120">
        <v>109.99</v>
      </c>
      <c r="H120">
        <f>Table4[[#This Row],[UnitPrice]]*Table4[[#This Row],[Quantity]]</f>
        <v>439.96</v>
      </c>
    </row>
    <row r="121" spans="1:8">
      <c r="A121" s="4">
        <v>1120</v>
      </c>
      <c r="B121" s="2">
        <v>45650</v>
      </c>
      <c r="C121" t="s">
        <v>16</v>
      </c>
      <c r="D121" t="s">
        <v>17</v>
      </c>
      <c r="E121" t="s">
        <v>26</v>
      </c>
      <c r="F121">
        <v>2</v>
      </c>
      <c r="G121">
        <v>49.99</v>
      </c>
      <c r="H121">
        <f>Table4[[#This Row],[UnitPrice]]*Table4[[#This Row],[Quantity]]</f>
        <v>99.98</v>
      </c>
    </row>
    <row r="122" spans="1:8">
      <c r="A122" s="4">
        <v>1121</v>
      </c>
      <c r="B122" s="2">
        <v>45303</v>
      </c>
      <c r="C122" t="s">
        <v>7</v>
      </c>
      <c r="D122" t="s">
        <v>8</v>
      </c>
      <c r="E122" t="s">
        <v>9</v>
      </c>
      <c r="F122">
        <v>2</v>
      </c>
      <c r="G122">
        <v>1199.99</v>
      </c>
      <c r="H122">
        <f>Table4[[#This Row],[UnitPrice]]*Table4[[#This Row],[Quantity]]</f>
        <v>2399.98</v>
      </c>
    </row>
    <row r="123" spans="1:8">
      <c r="A123" s="4">
        <v>1122</v>
      </c>
      <c r="B123" s="2">
        <v>45344</v>
      </c>
      <c r="C123" t="s">
        <v>10</v>
      </c>
      <c r="D123" t="s">
        <v>11</v>
      </c>
      <c r="E123" t="s">
        <v>12</v>
      </c>
      <c r="F123">
        <v>7</v>
      </c>
      <c r="G123">
        <v>23.99</v>
      </c>
      <c r="H123">
        <f>Table4[[#This Row],[UnitPrice]]*Table4[[#This Row],[Quantity]]</f>
        <v>167.92999999999998</v>
      </c>
    </row>
    <row r="124" spans="1:8">
      <c r="A124" s="4">
        <v>1123</v>
      </c>
      <c r="B124" s="2">
        <v>45358</v>
      </c>
      <c r="C124" t="s">
        <v>13</v>
      </c>
      <c r="D124" t="s">
        <v>14</v>
      </c>
      <c r="E124" t="s">
        <v>15</v>
      </c>
      <c r="F124">
        <v>1</v>
      </c>
      <c r="G124">
        <v>749.99</v>
      </c>
      <c r="H124">
        <f>Table4[[#This Row],[UnitPrice]]*Table4[[#This Row],[Quantity]]</f>
        <v>749.99</v>
      </c>
    </row>
    <row r="125" spans="1:8">
      <c r="A125" s="4">
        <v>1124</v>
      </c>
      <c r="B125" s="2">
        <v>45405</v>
      </c>
      <c r="C125" t="s">
        <v>16</v>
      </c>
      <c r="D125" t="s">
        <v>17</v>
      </c>
      <c r="E125" t="s">
        <v>18</v>
      </c>
      <c r="F125">
        <v>2</v>
      </c>
      <c r="G125">
        <v>109.99</v>
      </c>
      <c r="H125">
        <f>Table4[[#This Row],[UnitPrice]]*Table4[[#This Row],[Quantity]]</f>
        <v>219.98</v>
      </c>
    </row>
    <row r="126" spans="1:8">
      <c r="A126" s="4">
        <v>1125</v>
      </c>
      <c r="B126" s="2">
        <v>45442</v>
      </c>
      <c r="C126" t="s">
        <v>7</v>
      </c>
      <c r="D126" t="s">
        <v>8</v>
      </c>
      <c r="E126" t="s">
        <v>19</v>
      </c>
      <c r="F126">
        <v>3</v>
      </c>
      <c r="G126">
        <v>799.99</v>
      </c>
      <c r="H126">
        <f>Table4[[#This Row],[UnitPrice]]*Table4[[#This Row],[Quantity]]</f>
        <v>2399.9700000000003</v>
      </c>
    </row>
    <row r="127" spans="1:8">
      <c r="A127" s="4">
        <v>1126</v>
      </c>
      <c r="B127" s="2">
        <v>45448</v>
      </c>
      <c r="C127" t="s">
        <v>10</v>
      </c>
      <c r="D127" t="s">
        <v>11</v>
      </c>
      <c r="E127" t="s">
        <v>20</v>
      </c>
      <c r="F127">
        <v>4</v>
      </c>
      <c r="G127">
        <v>69.989999999999995</v>
      </c>
      <c r="H127">
        <f>Table4[[#This Row],[UnitPrice]]*Table4[[#This Row],[Quantity]]</f>
        <v>279.95999999999998</v>
      </c>
    </row>
    <row r="128" spans="1:8">
      <c r="A128" s="4">
        <v>1127</v>
      </c>
      <c r="B128" s="2">
        <v>45492</v>
      </c>
      <c r="C128" t="s">
        <v>13</v>
      </c>
      <c r="D128" t="s">
        <v>14</v>
      </c>
      <c r="E128" t="s">
        <v>21</v>
      </c>
      <c r="F128">
        <v>3</v>
      </c>
      <c r="G128">
        <v>39.99</v>
      </c>
      <c r="H128">
        <f>Table4[[#This Row],[UnitPrice]]*Table4[[#This Row],[Quantity]]</f>
        <v>119.97</v>
      </c>
    </row>
    <row r="129" spans="1:8">
      <c r="A129" s="4">
        <v>1128</v>
      </c>
      <c r="B129" s="2">
        <v>45513</v>
      </c>
      <c r="C129" t="s">
        <v>16</v>
      </c>
      <c r="D129" t="s">
        <v>17</v>
      </c>
      <c r="E129" t="s">
        <v>22</v>
      </c>
      <c r="F129">
        <v>1</v>
      </c>
      <c r="G129">
        <v>34.99</v>
      </c>
      <c r="H129">
        <f>Table4[[#This Row],[UnitPrice]]*Table4[[#This Row],[Quantity]]</f>
        <v>34.99</v>
      </c>
    </row>
    <row r="130" spans="1:8">
      <c r="A130" s="4">
        <v>1129</v>
      </c>
      <c r="B130" s="2">
        <v>45553</v>
      </c>
      <c r="C130" t="s">
        <v>7</v>
      </c>
      <c r="D130" t="s">
        <v>8</v>
      </c>
      <c r="E130" t="s">
        <v>23</v>
      </c>
      <c r="F130">
        <v>3</v>
      </c>
      <c r="G130">
        <v>449.99</v>
      </c>
      <c r="H130">
        <f>Table4[[#This Row],[UnitPrice]]*Table4[[#This Row],[Quantity]]</f>
        <v>1349.97</v>
      </c>
    </row>
    <row r="131" spans="1:8">
      <c r="A131" s="4">
        <v>1130</v>
      </c>
      <c r="B131" s="2">
        <v>45592</v>
      </c>
      <c r="C131" t="s">
        <v>10</v>
      </c>
      <c r="D131" t="s">
        <v>11</v>
      </c>
      <c r="E131" t="s">
        <v>24</v>
      </c>
      <c r="F131">
        <v>2</v>
      </c>
      <c r="G131">
        <v>119.99</v>
      </c>
      <c r="H131">
        <f>Table4[[#This Row],[UnitPrice]]*Table4[[#This Row],[Quantity]]</f>
        <v>239.98</v>
      </c>
    </row>
    <row r="132" spans="1:8">
      <c r="A132" s="4">
        <v>1131</v>
      </c>
      <c r="B132" s="2">
        <v>45604</v>
      </c>
      <c r="C132" t="s">
        <v>13</v>
      </c>
      <c r="D132" t="s">
        <v>14</v>
      </c>
      <c r="E132" t="s">
        <v>25</v>
      </c>
      <c r="F132">
        <v>5</v>
      </c>
      <c r="G132">
        <v>69.989999999999995</v>
      </c>
      <c r="H132">
        <f>Table4[[#This Row],[UnitPrice]]*Table4[[#This Row],[Quantity]]</f>
        <v>349.95</v>
      </c>
    </row>
    <row r="133" spans="1:8">
      <c r="A133" s="4">
        <v>1132</v>
      </c>
      <c r="B133" s="2">
        <v>45655</v>
      </c>
      <c r="C133" t="s">
        <v>16</v>
      </c>
      <c r="D133" t="s">
        <v>17</v>
      </c>
      <c r="E133" t="s">
        <v>26</v>
      </c>
      <c r="F133">
        <v>4</v>
      </c>
      <c r="G133">
        <v>29.99</v>
      </c>
      <c r="H133">
        <f>Table4[[#This Row],[UnitPrice]]*Table4[[#This Row],[Quantity]]</f>
        <v>119.96</v>
      </c>
    </row>
    <row r="134" spans="1:8">
      <c r="A134" s="4">
        <v>1133</v>
      </c>
      <c r="B134" s="2">
        <v>45308</v>
      </c>
      <c r="C134" t="s">
        <v>7</v>
      </c>
      <c r="D134" t="s">
        <v>8</v>
      </c>
      <c r="E134" t="s">
        <v>9</v>
      </c>
      <c r="F134">
        <v>4</v>
      </c>
      <c r="G134">
        <v>999.99</v>
      </c>
      <c r="H134">
        <f>Table4[[#This Row],[UnitPrice]]*Table4[[#This Row],[Quantity]]</f>
        <v>3999.96</v>
      </c>
    </row>
    <row r="135" spans="1:8">
      <c r="A135" s="4">
        <v>1134</v>
      </c>
      <c r="B135" s="2">
        <v>45348</v>
      </c>
      <c r="C135" t="s">
        <v>10</v>
      </c>
      <c r="D135" t="s">
        <v>11</v>
      </c>
      <c r="E135" t="s">
        <v>12</v>
      </c>
      <c r="F135">
        <v>8</v>
      </c>
      <c r="G135">
        <v>18.989999999999998</v>
      </c>
      <c r="H135">
        <f>Table4[[#This Row],[UnitPrice]]*Table4[[#This Row],[Quantity]]</f>
        <v>151.91999999999999</v>
      </c>
    </row>
    <row r="136" spans="1:8">
      <c r="A136" s="4">
        <v>1135</v>
      </c>
      <c r="B136" s="2">
        <v>45372</v>
      </c>
      <c r="C136" t="s">
        <v>13</v>
      </c>
      <c r="D136" t="s">
        <v>14</v>
      </c>
      <c r="E136" t="s">
        <v>15</v>
      </c>
      <c r="F136">
        <v>1</v>
      </c>
      <c r="G136">
        <v>899.99</v>
      </c>
      <c r="H136">
        <f>Table4[[#This Row],[UnitPrice]]*Table4[[#This Row],[Quantity]]</f>
        <v>899.99</v>
      </c>
    </row>
    <row r="137" spans="1:8">
      <c r="A137" s="4">
        <v>1136</v>
      </c>
      <c r="B137" s="2">
        <v>45384</v>
      </c>
      <c r="C137" t="s">
        <v>16</v>
      </c>
      <c r="D137" t="s">
        <v>17</v>
      </c>
      <c r="E137" t="s">
        <v>18</v>
      </c>
      <c r="F137">
        <v>1</v>
      </c>
      <c r="G137">
        <v>119.99</v>
      </c>
      <c r="H137">
        <f>Table4[[#This Row],[UnitPrice]]*Table4[[#This Row],[Quantity]]</f>
        <v>119.99</v>
      </c>
    </row>
    <row r="138" spans="1:8">
      <c r="A138" s="4">
        <v>1137</v>
      </c>
      <c r="B138" s="2">
        <v>45435</v>
      </c>
      <c r="C138" t="s">
        <v>7</v>
      </c>
      <c r="D138" t="s">
        <v>8</v>
      </c>
      <c r="E138" t="s">
        <v>19</v>
      </c>
      <c r="F138">
        <v>6</v>
      </c>
      <c r="G138">
        <v>699.99</v>
      </c>
      <c r="H138">
        <f>Table4[[#This Row],[UnitPrice]]*Table4[[#This Row],[Quantity]]</f>
        <v>4199.9400000000005</v>
      </c>
    </row>
    <row r="139" spans="1:8">
      <c r="A139" s="4">
        <v>1138</v>
      </c>
      <c r="B139" s="2">
        <v>45456</v>
      </c>
      <c r="C139" t="s">
        <v>10</v>
      </c>
      <c r="D139" t="s">
        <v>11</v>
      </c>
      <c r="E139" t="s">
        <v>20</v>
      </c>
      <c r="F139">
        <v>3</v>
      </c>
      <c r="G139">
        <v>89.99</v>
      </c>
      <c r="H139">
        <f>Table4[[#This Row],[UnitPrice]]*Table4[[#This Row],[Quantity]]</f>
        <v>269.96999999999997</v>
      </c>
    </row>
    <row r="140" spans="1:8">
      <c r="A140" s="4">
        <v>1139</v>
      </c>
      <c r="B140" s="2">
        <v>45478</v>
      </c>
      <c r="C140" t="s">
        <v>13</v>
      </c>
      <c r="D140" t="s">
        <v>14</v>
      </c>
      <c r="E140" t="s">
        <v>21</v>
      </c>
      <c r="F140">
        <v>4</v>
      </c>
      <c r="G140">
        <v>24.99</v>
      </c>
      <c r="H140">
        <f>Table4[[#This Row],[UnitPrice]]*Table4[[#This Row],[Quantity]]</f>
        <v>99.96</v>
      </c>
    </row>
    <row r="141" spans="1:8">
      <c r="A141" s="4">
        <v>1140</v>
      </c>
      <c r="B141" s="2">
        <v>45525</v>
      </c>
      <c r="C141" t="s">
        <v>16</v>
      </c>
      <c r="D141" t="s">
        <v>17</v>
      </c>
      <c r="E141" t="s">
        <v>22</v>
      </c>
      <c r="F141">
        <v>2</v>
      </c>
      <c r="G141">
        <v>39.99</v>
      </c>
      <c r="H141">
        <f>Table4[[#This Row],[UnitPrice]]*Table4[[#This Row],[Quantity]]</f>
        <v>79.98</v>
      </c>
    </row>
    <row r="142" spans="1:8">
      <c r="A142" s="4">
        <v>1141</v>
      </c>
      <c r="B142" s="2">
        <v>45546</v>
      </c>
      <c r="C142" t="s">
        <v>7</v>
      </c>
      <c r="D142" t="s">
        <v>8</v>
      </c>
      <c r="E142" t="s">
        <v>23</v>
      </c>
      <c r="F142">
        <v>2</v>
      </c>
      <c r="G142">
        <v>399.99</v>
      </c>
      <c r="H142">
        <f>Table4[[#This Row],[UnitPrice]]*Table4[[#This Row],[Quantity]]</f>
        <v>799.98</v>
      </c>
    </row>
    <row r="143" spans="1:8">
      <c r="A143" s="4">
        <v>1142</v>
      </c>
      <c r="B143" s="2">
        <v>45566</v>
      </c>
      <c r="C143" t="s">
        <v>10</v>
      </c>
      <c r="D143" t="s">
        <v>11</v>
      </c>
      <c r="E143" t="s">
        <v>24</v>
      </c>
      <c r="F143">
        <v>1</v>
      </c>
      <c r="G143">
        <v>139.99</v>
      </c>
      <c r="H143">
        <f>Table4[[#This Row],[UnitPrice]]*Table4[[#This Row],[Quantity]]</f>
        <v>139.99</v>
      </c>
    </row>
    <row r="144" spans="1:8">
      <c r="A144" s="4">
        <v>1143</v>
      </c>
      <c r="B144" s="2">
        <v>45614</v>
      </c>
      <c r="C144" t="s">
        <v>13</v>
      </c>
      <c r="D144" t="s">
        <v>14</v>
      </c>
      <c r="E144" t="s">
        <v>25</v>
      </c>
      <c r="F144">
        <v>3</v>
      </c>
      <c r="G144">
        <v>99.99</v>
      </c>
      <c r="H144">
        <f>Table4[[#This Row],[UnitPrice]]*Table4[[#This Row],[Quantity]]</f>
        <v>299.96999999999997</v>
      </c>
    </row>
    <row r="145" spans="1:8">
      <c r="A145" s="4">
        <v>1144</v>
      </c>
      <c r="B145" s="2">
        <v>45633</v>
      </c>
      <c r="C145" t="s">
        <v>16</v>
      </c>
      <c r="D145" t="s">
        <v>17</v>
      </c>
      <c r="E145" t="s">
        <v>26</v>
      </c>
      <c r="F145">
        <v>3</v>
      </c>
      <c r="G145">
        <v>44.99</v>
      </c>
      <c r="H145">
        <f>Table4[[#This Row],[UnitPrice]]*Table4[[#This Row],[Quantity]]</f>
        <v>134.97</v>
      </c>
    </row>
    <row r="146" spans="1:8">
      <c r="A146" s="4">
        <v>1145</v>
      </c>
      <c r="B146" s="2">
        <v>45301</v>
      </c>
      <c r="C146" t="s">
        <v>7</v>
      </c>
      <c r="D146" t="s">
        <v>8</v>
      </c>
      <c r="E146" t="s">
        <v>9</v>
      </c>
      <c r="F146">
        <v>3</v>
      </c>
      <c r="G146">
        <v>1099.99</v>
      </c>
      <c r="H146">
        <f>Table4[[#This Row],[UnitPrice]]*Table4[[#This Row],[Quantity]]</f>
        <v>3299.9700000000003</v>
      </c>
    </row>
    <row r="147" spans="1:8">
      <c r="A147" s="4">
        <v>1146</v>
      </c>
      <c r="B147" s="2">
        <v>45324</v>
      </c>
      <c r="C147" t="s">
        <v>10</v>
      </c>
      <c r="D147" t="s">
        <v>11</v>
      </c>
      <c r="E147" t="s">
        <v>12</v>
      </c>
      <c r="F147">
        <v>5</v>
      </c>
      <c r="G147">
        <v>22.99</v>
      </c>
      <c r="H147">
        <f>Table4[[#This Row],[UnitPrice]]*Table4[[#This Row],[Quantity]]</f>
        <v>114.94999999999999</v>
      </c>
    </row>
    <row r="148" spans="1:8">
      <c r="A148" s="4">
        <v>1147</v>
      </c>
      <c r="B148" s="2">
        <v>45379</v>
      </c>
      <c r="C148" t="s">
        <v>13</v>
      </c>
      <c r="D148" t="s">
        <v>14</v>
      </c>
      <c r="E148" t="s">
        <v>15</v>
      </c>
      <c r="F148">
        <v>1</v>
      </c>
      <c r="G148">
        <v>599.99</v>
      </c>
      <c r="H148">
        <f>Table4[[#This Row],[UnitPrice]]*Table4[[#This Row],[Quantity]]</f>
        <v>599.99</v>
      </c>
    </row>
    <row r="149" spans="1:8">
      <c r="A149" s="4">
        <v>1148</v>
      </c>
      <c r="B149" s="2">
        <v>45398</v>
      </c>
      <c r="C149" t="s">
        <v>16</v>
      </c>
      <c r="D149" t="s">
        <v>17</v>
      </c>
      <c r="E149" t="s">
        <v>18</v>
      </c>
      <c r="F149">
        <v>4</v>
      </c>
      <c r="G149">
        <v>79.989999999999995</v>
      </c>
      <c r="H149">
        <f>Table4[[#This Row],[UnitPrice]]*Table4[[#This Row],[Quantity]]</f>
        <v>319.95999999999998</v>
      </c>
    </row>
    <row r="150" spans="1:8">
      <c r="A150" s="4">
        <v>1149</v>
      </c>
      <c r="B150" s="2">
        <v>45426</v>
      </c>
      <c r="C150" t="s">
        <v>7</v>
      </c>
      <c r="D150" t="s">
        <v>8</v>
      </c>
      <c r="E150" t="s">
        <v>19</v>
      </c>
      <c r="F150">
        <v>2</v>
      </c>
      <c r="G150">
        <v>949.99</v>
      </c>
      <c r="H150">
        <f>Table4[[#This Row],[UnitPrice]]*Table4[[#This Row],[Quantity]]</f>
        <v>1899.98</v>
      </c>
    </row>
    <row r="151" spans="1:8">
      <c r="A151" s="4">
        <v>1150</v>
      </c>
      <c r="B151" s="2">
        <v>45464</v>
      </c>
      <c r="C151" t="s">
        <v>10</v>
      </c>
      <c r="D151" t="s">
        <v>11</v>
      </c>
      <c r="E151" t="s">
        <v>20</v>
      </c>
      <c r="F151">
        <v>7</v>
      </c>
      <c r="G151">
        <v>39.99</v>
      </c>
      <c r="H151">
        <f>Table4[[#This Row],[UnitPrice]]*Table4[[#This Row],[Quantity]]</f>
        <v>279.93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Raw_Data_3</vt:lpstr>
      <vt:lpstr>Raw_Data_2</vt:lpstr>
      <vt:lpstr>Excel Analysis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Anumba Ejike John</dc:creator>
  <cp:lastModifiedBy>Anumba Ejike John</cp:lastModifiedBy>
  <dcterms:created xsi:type="dcterms:W3CDTF">2026-05-29T16:20:57Z</dcterms:created>
  <dcterms:modified xsi:type="dcterms:W3CDTF">2026-05-29T17:58:19Z</dcterms:modified>
</cp:coreProperties>
</file>